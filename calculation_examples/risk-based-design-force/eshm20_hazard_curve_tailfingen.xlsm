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hsuhhde-my.sharepoint.com/personal/clemettn_hsu_hamburg/Documents/01_arbeit/14_PhD/other/Berechnungen/calculation_examples/risk-based-design-force/"/>
    </mc:Choice>
  </mc:AlternateContent>
  <xr:revisionPtr revIDLastSave="432" documentId="8_{A98BE492-56B0-4A39-9345-D2C8C9E157B0}" xr6:coauthVersionLast="47" xr6:coauthVersionMax="47" xr10:uidLastSave="{B66B4273-8A45-49DD-BD8B-9F60FEB3B9F2}"/>
  <bookViews>
    <workbookView xWindow="-120" yWindow="-120" windowWidth="29040" windowHeight="15720" xr2:uid="{9DBE1C67-71C4-4D65-99DC-29533B8A0C7A}"/>
  </bookViews>
  <sheets>
    <sheet name="hazard_calcs" sheetId="1" r:id="rId1"/>
    <sheet name="raw_hazard_data" sheetId="2" r:id="rId2"/>
  </sheets>
  <functionGroups builtInGroupCount="19"/>
  <definedNames>
    <definedName name="_xleta.LO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3" i="1" l="1"/>
  <c r="B9" i="1"/>
  <c r="D9" i="1" s="1" a="1"/>
  <c r="D9" i="1" s="1"/>
  <c r="S12" i="1"/>
  <c r="S17" i="1" s="1"/>
  <c r="S14" i="1"/>
  <c r="S19" i="1" s="1"/>
  <c r="S13" i="1"/>
  <c r="S18" i="1" s="1"/>
  <c r="F6" i="1" a="1"/>
  <c r="F5" i="1" a="1"/>
  <c r="E9" i="1" a="1"/>
  <c r="F9" i="1" a="1"/>
  <c r="F5" i="1" l="1"/>
  <c r="F6" i="1"/>
  <c r="G9" i="1" a="1"/>
  <c r="G9" i="1" s="1"/>
  <c r="J9" i="1" s="1"/>
  <c r="F9" i="1"/>
  <c r="E9" i="1"/>
  <c r="B10" i="1"/>
  <c r="G10" i="1" s="1" a="1"/>
  <c r="G10" i="1" s="1"/>
  <c r="J10" i="1" s="1"/>
  <c r="B11" i="1"/>
  <c r="G11" i="1" s="1" a="1"/>
  <c r="G11" i="1" s="1"/>
  <c r="J11" i="1" s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S5" i="1"/>
  <c r="S4" i="1"/>
  <c r="G24" i="1" a="1"/>
  <c r="G16" i="1" a="1"/>
  <c r="F25" i="1" a="1"/>
  <c r="F27" i="1" a="1"/>
  <c r="E25" i="1" a="1"/>
  <c r="E19" i="1" a="1"/>
  <c r="E12" i="1" a="1"/>
  <c r="T5" i="1" a="1"/>
  <c r="G20" i="1" a="1"/>
  <c r="D13" i="1" a="1"/>
  <c r="E11" i="1" a="1"/>
  <c r="D27" i="1" a="1"/>
  <c r="E26" i="1" a="1"/>
  <c r="G13" i="1" a="1"/>
  <c r="G19" i="1" a="1"/>
  <c r="D10" i="1" a="1"/>
  <c r="E27" i="1" a="1"/>
  <c r="G26" i="1" a="1"/>
  <c r="F10" i="1" a="1"/>
  <c r="F28" i="1" a="1"/>
  <c r="D22" i="1" a="1"/>
  <c r="D28" i="1" a="1"/>
  <c r="D17" i="1" a="1"/>
  <c r="D16" i="1" a="1"/>
  <c r="F22" i="1" a="1"/>
  <c r="E22" i="1" a="1"/>
  <c r="E28" i="1" a="1"/>
  <c r="E16" i="1" a="1"/>
  <c r="F29" i="1" a="1"/>
  <c r="D20" i="1" a="1"/>
  <c r="E24" i="1" a="1"/>
  <c r="G30" i="1" a="1"/>
  <c r="D19" i="1" a="1"/>
  <c r="D11" i="1" a="1"/>
  <c r="G18" i="1" a="1"/>
  <c r="E13" i="1" a="1"/>
  <c r="G32" i="1" a="1"/>
  <c r="G15" i="1" a="1"/>
  <c r="F17" i="1" a="1"/>
  <c r="E17" i="1" a="1"/>
  <c r="D23" i="1" a="1"/>
  <c r="D18" i="1" a="1"/>
  <c r="E30" i="1" a="1"/>
  <c r="D25" i="1" a="1"/>
  <c r="D14" i="1" a="1"/>
  <c r="F20" i="1" a="1"/>
  <c r="F15" i="1" a="1"/>
  <c r="E10" i="1" a="1"/>
  <c r="G21" i="1" a="1"/>
  <c r="G27" i="1" a="1"/>
  <c r="F11" i="1" a="1"/>
  <c r="D29" i="1" a="1"/>
  <c r="E21" i="1" a="1"/>
  <c r="F31" i="1" a="1"/>
  <c r="F21" i="1" a="1"/>
  <c r="G25" i="1" a="1"/>
  <c r="D15" i="1" a="1"/>
  <c r="E15" i="1" a="1"/>
  <c r="G33" i="1" a="1"/>
  <c r="G28" i="1" a="1"/>
  <c r="F23" i="1" a="1"/>
  <c r="F18" i="1" a="1"/>
  <c r="E23" i="1" a="1"/>
  <c r="E29" i="1" a="1"/>
  <c r="E20" i="1" a="1"/>
  <c r="E18" i="1" a="1"/>
  <c r="T12" i="1" a="1"/>
  <c r="G29" i="1" a="1"/>
  <c r="F19" i="1" a="1"/>
  <c r="G12" i="1" a="1"/>
  <c r="D12" i="1" a="1"/>
  <c r="T4" i="1" a="1"/>
  <c r="E14" i="1" a="1"/>
  <c r="D26" i="1" a="1"/>
  <c r="F16" i="1" a="1"/>
  <c r="G22" i="1" a="1"/>
  <c r="G17" i="1" a="1"/>
  <c r="F12" i="1" a="1"/>
  <c r="F30" i="1" a="1"/>
  <c r="D24" i="1" a="1"/>
  <c r="D30" i="1" a="1"/>
  <c r="D21" i="1" a="1"/>
  <c r="G23" i="1" a="1"/>
  <c r="F24" i="1" a="1"/>
  <c r="T14" i="1" a="1"/>
  <c r="F13" i="1" a="1"/>
  <c r="T13" i="1" a="1"/>
  <c r="F14" i="1" a="1"/>
  <c r="F26" i="1" a="1"/>
  <c r="G31" i="1" a="1"/>
  <c r="G14" i="1" a="1"/>
  <c r="G32" i="1" l="1"/>
  <c r="J32" i="1" s="1"/>
  <c r="G31" i="1"/>
  <c r="J31" i="1" s="1"/>
  <c r="G18" i="1"/>
  <c r="J18" i="1" s="1"/>
  <c r="G20" i="1"/>
  <c r="J20" i="1" s="1"/>
  <c r="G16" i="1"/>
  <c r="J16" i="1" s="1"/>
  <c r="G30" i="1"/>
  <c r="J30" i="1" s="1"/>
  <c r="G29" i="1"/>
  <c r="J29" i="1" s="1"/>
  <c r="G17" i="1"/>
  <c r="J17" i="1" s="1"/>
  <c r="G28" i="1"/>
  <c r="J28" i="1" s="1"/>
  <c r="G27" i="1"/>
  <c r="J27" i="1" s="1"/>
  <c r="G15" i="1"/>
  <c r="J15" i="1" s="1"/>
  <c r="G26" i="1"/>
  <c r="J26" i="1" s="1"/>
  <c r="G14" i="1"/>
  <c r="J14" i="1" s="1"/>
  <c r="G19" i="1"/>
  <c r="J19" i="1" s="1"/>
  <c r="G25" i="1"/>
  <c r="G13" i="1"/>
  <c r="J13" i="1" s="1"/>
  <c r="G24" i="1"/>
  <c r="J24" i="1" s="1"/>
  <c r="G12" i="1"/>
  <c r="J12" i="1" s="1"/>
  <c r="G23" i="1"/>
  <c r="J23" i="1" s="1"/>
  <c r="G22" i="1"/>
  <c r="J22" i="1" s="1"/>
  <c r="G33" i="1"/>
  <c r="J33" i="1" s="1"/>
  <c r="G21" i="1"/>
  <c r="J21" i="1" s="1"/>
  <c r="F32" i="1" a="1"/>
  <c r="F32" i="1" s="1"/>
  <c r="F33" i="1" a="1"/>
  <c r="F33" i="1" s="1"/>
  <c r="F20" i="1"/>
  <c r="F21" i="1"/>
  <c r="F27" i="1"/>
  <c r="F31" i="1"/>
  <c r="F19" i="1"/>
  <c r="F30" i="1"/>
  <c r="F18" i="1"/>
  <c r="F29" i="1"/>
  <c r="F17" i="1"/>
  <c r="F28" i="1"/>
  <c r="F16" i="1"/>
  <c r="H16" i="1" s="1"/>
  <c r="I16" i="1" s="1"/>
  <c r="M16" i="1" s="1"/>
  <c r="N16" i="1" s="1"/>
  <c r="F15" i="1"/>
  <c r="H15" i="1" s="1"/>
  <c r="I15" i="1" s="1"/>
  <c r="M15" i="1" s="1"/>
  <c r="N15" i="1" s="1"/>
  <c r="F26" i="1"/>
  <c r="F14" i="1"/>
  <c r="F25" i="1"/>
  <c r="F13" i="1"/>
  <c r="F24" i="1"/>
  <c r="F12" i="1"/>
  <c r="F23" i="1"/>
  <c r="F11" i="1"/>
  <c r="F22" i="1"/>
  <c r="F10" i="1"/>
  <c r="H10" i="1" s="1"/>
  <c r="I10" i="1" s="1"/>
  <c r="H9" i="1"/>
  <c r="I9" i="1" s="1"/>
  <c r="E18" i="1"/>
  <c r="D18" i="1"/>
  <c r="E16" i="1"/>
  <c r="D16" i="1"/>
  <c r="E27" i="1"/>
  <c r="D27" i="1"/>
  <c r="E13" i="1"/>
  <c r="D13" i="1"/>
  <c r="E12" i="1"/>
  <c r="D12" i="1"/>
  <c r="E21" i="1"/>
  <c r="D21" i="1"/>
  <c r="E20" i="1"/>
  <c r="D20" i="1"/>
  <c r="E17" i="1"/>
  <c r="D17" i="1"/>
  <c r="E26" i="1"/>
  <c r="D26" i="1"/>
  <c r="E11" i="1"/>
  <c r="D11" i="1"/>
  <c r="E19" i="1"/>
  <c r="D19" i="1"/>
  <c r="E30" i="1"/>
  <c r="D30" i="1"/>
  <c r="E29" i="1"/>
  <c r="D29" i="1"/>
  <c r="E28" i="1"/>
  <c r="D28" i="1"/>
  <c r="E15" i="1"/>
  <c r="D15" i="1"/>
  <c r="E14" i="1"/>
  <c r="D14" i="1"/>
  <c r="E25" i="1"/>
  <c r="D25" i="1"/>
  <c r="E24" i="1"/>
  <c r="D24" i="1"/>
  <c r="E23" i="1"/>
  <c r="D23" i="1"/>
  <c r="E22" i="1"/>
  <c r="D22" i="1"/>
  <c r="E10" i="1"/>
  <c r="D10" i="1"/>
  <c r="E33" i="1" a="1"/>
  <c r="E33" i="1" s="1"/>
  <c r="D33" i="1" a="1"/>
  <c r="D33" i="1" s="1"/>
  <c r="D32" i="1" a="1"/>
  <c r="D32" i="1" s="1"/>
  <c r="E32" i="1" a="1"/>
  <c r="E32" i="1" s="1"/>
  <c r="D31" i="1" a="1"/>
  <c r="D31" i="1" s="1"/>
  <c r="E31" i="1" a="1"/>
  <c r="E31" i="1" s="1"/>
  <c r="T13" i="1"/>
  <c r="T18" i="1" s="1"/>
  <c r="T12" i="1"/>
  <c r="T17" i="1" s="1"/>
  <c r="T14" i="1"/>
  <c r="T19" i="1" s="1"/>
  <c r="T5" i="1"/>
  <c r="T4" i="1"/>
  <c r="F4" i="1" a="1"/>
  <c r="F4" i="1" l="1"/>
  <c r="K10" i="1"/>
  <c r="L10" i="1" s="1"/>
  <c r="M10" i="1"/>
  <c r="N10" i="1" s="1"/>
  <c r="K9" i="1"/>
  <c r="L9" i="1" s="1"/>
  <c r="M9" i="1"/>
  <c r="N9" i="1" s="1"/>
  <c r="J25" i="1"/>
  <c r="K15" i="1"/>
  <c r="L15" i="1" s="1"/>
  <c r="H31" i="1"/>
  <c r="I31" i="1" s="1"/>
  <c r="M31" i="1" s="1"/>
  <c r="N31" i="1" s="1"/>
  <c r="K17" i="1"/>
  <c r="L17" i="1" s="1"/>
  <c r="K16" i="1"/>
  <c r="L16" i="1" s="1"/>
  <c r="K20" i="1"/>
  <c r="L20" i="1" s="1"/>
  <c r="H22" i="1"/>
  <c r="I22" i="1" s="1"/>
  <c r="M22" i="1" s="1"/>
  <c r="N22" i="1" s="1"/>
  <c r="H17" i="1"/>
  <c r="I17" i="1" s="1"/>
  <c r="M17" i="1" s="1"/>
  <c r="N17" i="1" s="1"/>
  <c r="H28" i="1"/>
  <c r="I28" i="1" s="1"/>
  <c r="H33" i="1"/>
  <c r="I33" i="1" s="1"/>
  <c r="M33" i="1" s="1"/>
  <c r="N33" i="1" s="1"/>
  <c r="H32" i="1"/>
  <c r="I32" i="1" s="1"/>
  <c r="H27" i="1"/>
  <c r="I27" i="1" s="1"/>
  <c r="H26" i="1"/>
  <c r="I26" i="1" s="1"/>
  <c r="H18" i="1"/>
  <c r="I18" i="1" s="1"/>
  <c r="H25" i="1"/>
  <c r="H14" i="1"/>
  <c r="I14" i="1" s="1"/>
  <c r="H21" i="1"/>
  <c r="I21" i="1" s="1"/>
  <c r="M21" i="1" s="1"/>
  <c r="N21" i="1" s="1"/>
  <c r="H19" i="1"/>
  <c r="I19" i="1" s="1"/>
  <c r="M19" i="1" s="1"/>
  <c r="N19" i="1" s="1"/>
  <c r="H11" i="1"/>
  <c r="I11" i="1" s="1"/>
  <c r="H29" i="1"/>
  <c r="I29" i="1" s="1"/>
  <c r="H23" i="1"/>
  <c r="I23" i="1" s="1"/>
  <c r="H12" i="1"/>
  <c r="I12" i="1" s="1"/>
  <c r="H30" i="1"/>
  <c r="I30" i="1" s="1"/>
  <c r="H24" i="1"/>
  <c r="I24" i="1" s="1"/>
  <c r="H13" i="1"/>
  <c r="I13" i="1" s="1"/>
  <c r="H20" i="1"/>
  <c r="I20" i="1" s="1"/>
  <c r="M20" i="1" s="1"/>
  <c r="N20" i="1" s="1"/>
  <c r="T23" i="1"/>
  <c r="T22" i="1"/>
  <c r="T21" i="1"/>
  <c r="T8" i="1"/>
  <c r="T7" i="1" s="1"/>
  <c r="O20" i="1" s="1"/>
  <c r="K12" i="1" l="1"/>
  <c r="L12" i="1" s="1"/>
  <c r="M12" i="1"/>
  <c r="N12" i="1" s="1"/>
  <c r="K14" i="1"/>
  <c r="L14" i="1" s="1"/>
  <c r="M14" i="1"/>
  <c r="N14" i="1" s="1"/>
  <c r="K18" i="1"/>
  <c r="L18" i="1" s="1"/>
  <c r="M18" i="1"/>
  <c r="N18" i="1" s="1"/>
  <c r="K19" i="1"/>
  <c r="L19" i="1" s="1"/>
  <c r="K13" i="1"/>
  <c r="L13" i="1" s="1"/>
  <c r="M13" i="1"/>
  <c r="N13" i="1" s="1"/>
  <c r="K26" i="1"/>
  <c r="L26" i="1" s="1"/>
  <c r="M26" i="1"/>
  <c r="N26" i="1" s="1"/>
  <c r="K24" i="1"/>
  <c r="L24" i="1" s="1"/>
  <c r="M24" i="1"/>
  <c r="N24" i="1" s="1"/>
  <c r="K27" i="1"/>
  <c r="L27" i="1" s="1"/>
  <c r="M27" i="1"/>
  <c r="N27" i="1" s="1"/>
  <c r="K22" i="1"/>
  <c r="L22" i="1" s="1"/>
  <c r="K11" i="1"/>
  <c r="L11" i="1" s="1"/>
  <c r="M11" i="1"/>
  <c r="N11" i="1" s="1"/>
  <c r="K30" i="1"/>
  <c r="L30" i="1" s="1"/>
  <c r="M30" i="1"/>
  <c r="N30" i="1" s="1"/>
  <c r="K32" i="1"/>
  <c r="L32" i="1" s="1"/>
  <c r="M32" i="1"/>
  <c r="N32" i="1" s="1"/>
  <c r="K33" i="1"/>
  <c r="L33" i="1" s="1"/>
  <c r="K23" i="1"/>
  <c r="L23" i="1" s="1"/>
  <c r="M23" i="1"/>
  <c r="N23" i="1" s="1"/>
  <c r="K28" i="1"/>
  <c r="L28" i="1" s="1"/>
  <c r="M28" i="1"/>
  <c r="N28" i="1" s="1"/>
  <c r="K29" i="1"/>
  <c r="L29" i="1" s="1"/>
  <c r="M29" i="1"/>
  <c r="N29" i="1" s="1"/>
  <c r="I25" i="1"/>
  <c r="K21" i="1"/>
  <c r="L21" i="1" s="1"/>
  <c r="K31" i="1"/>
  <c r="L31" i="1" s="1"/>
  <c r="T26" i="1"/>
  <c r="T30" i="1" s="1"/>
  <c r="O27" i="1"/>
  <c r="O19" i="1"/>
  <c r="O31" i="1"/>
  <c r="O32" i="1"/>
  <c r="O9" i="1"/>
  <c r="O11" i="1"/>
  <c r="O29" i="1"/>
  <c r="O21" i="1"/>
  <c r="O12" i="1"/>
  <c r="O33" i="1"/>
  <c r="O30" i="1"/>
  <c r="O28" i="1"/>
  <c r="O25" i="1"/>
  <c r="O23" i="1"/>
  <c r="O26" i="1"/>
  <c r="O13" i="1"/>
  <c r="O16" i="1"/>
  <c r="O22" i="1"/>
  <c r="O17" i="1"/>
  <c r="O14" i="1"/>
  <c r="O18" i="1"/>
  <c r="O10" i="1"/>
  <c r="O15" i="1"/>
  <c r="O24" i="1"/>
  <c r="T27" i="1"/>
  <c r="T31" i="1" s="1"/>
  <c r="M25" i="1" l="1"/>
  <c r="N25" i="1" s="1"/>
  <c r="K25" i="1"/>
  <c r="L25" i="1" s="1"/>
  <c r="T25" i="1"/>
  <c r="T29" i="1" s="1"/>
  <c r="P10" i="1" s="1"/>
  <c r="P20" i="1" l="1"/>
  <c r="P19" i="1"/>
  <c r="P26" i="1"/>
  <c r="P29" i="1"/>
  <c r="P14" i="1"/>
  <c r="P17" i="1"/>
  <c r="P25" i="1"/>
  <c r="P16" i="1"/>
  <c r="P24" i="1"/>
  <c r="P15" i="1"/>
  <c r="P12" i="1"/>
  <c r="P13" i="1"/>
  <c r="P31" i="1"/>
  <c r="P18" i="1"/>
  <c r="P28" i="1"/>
  <c r="P32" i="1"/>
  <c r="P30" i="1"/>
  <c r="P23" i="1"/>
  <c r="P27" i="1"/>
  <c r="P9" i="1"/>
  <c r="P11" i="1"/>
  <c r="P22" i="1"/>
  <c r="P33" i="1"/>
  <c r="P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tc={B63D1E6D-45AA-4F1A-8ED5-C28B7F718471}</author>
    <author>tc={2CBE3821-D35C-460F-8258-D8004F50D4D3}</author>
    <author>tc={17232469-E3E9-4980-A383-1FF2053E3AFB}</author>
  </authors>
  <commentList>
    <comment ref="K8" authorId="0" shapeId="0" xr:uid="{B63D1E6D-45AA-4F1A-8ED5-C28B7F71847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according to then 2nd gen code</t>
      </text>
    </comment>
    <comment ref="L8" authorId="1" shapeId="0" xr:uid="{2CBE3821-D35C-460F-8258-D8004F50D4D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Linear interpolation between (Tc, Fa) and (Tb, Fb)</t>
      </text>
    </comment>
    <comment ref="M8" authorId="2" shapeId="0" xr:uid="{17232469-E3E9-4980-A383-1FF2053E3AF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Linear interpolation between (T=0.2, Fa) and (T=1.0, Fb)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<sst xmlns="http://schemas.openxmlformats.org/spreadsheetml/2006/main" count="66" uniqueCount="50">
  <si>
    <t>poe50yr</t>
  </si>
  <si>
    <t>mafe</t>
  </si>
  <si>
    <t>First Order</t>
  </si>
  <si>
    <t>k0</t>
  </si>
  <si>
    <t>k1</t>
  </si>
  <si>
    <t>MAFE</t>
  </si>
  <si>
    <t>SA(0.5s)</t>
  </si>
  <si>
    <t>Second Order</t>
  </si>
  <si>
    <t>first order mafe</t>
  </si>
  <si>
    <t>D</t>
  </si>
  <si>
    <t>b</t>
  </si>
  <si>
    <t>D1</t>
  </si>
  <si>
    <t>D2</t>
  </si>
  <si>
    <t>&lt;-- Cramers Rule</t>
  </si>
  <si>
    <t>c</t>
  </si>
  <si>
    <t>a</t>
  </si>
  <si>
    <t>k2</t>
  </si>
  <si>
    <t>sec. Order mafe</t>
  </si>
  <si>
    <t>&lt;-- a = ln(k0)</t>
  </si>
  <si>
    <t>&lt;-- b = -k1</t>
  </si>
  <si>
    <t>&lt;-- c = -k2</t>
  </si>
  <si>
    <t>x = ln(SA)</t>
  </si>
  <si>
    <r>
      <t>y = ln(</t>
    </r>
    <r>
      <rPr>
        <sz val="11"/>
        <color theme="1"/>
        <rFont val="Aptos Narrow"/>
        <family val="2"/>
      </rPr>
      <t>λ)</t>
    </r>
  </si>
  <si>
    <t>MAFE, λ</t>
  </si>
  <si>
    <t>Point</t>
  </si>
  <si>
    <t>sa(0.5s)-Rock</t>
  </si>
  <si>
    <t>sa(0.5s)-Soil C</t>
  </si>
  <si>
    <t>Site</t>
  </si>
  <si>
    <t>Tailfingen</t>
  </si>
  <si>
    <t>Lat:</t>
  </si>
  <si>
    <t>Lon:</t>
  </si>
  <si>
    <t>48.257 N</t>
  </si>
  <si>
    <t>9.0166 E</t>
  </si>
  <si>
    <t>SA 0.1s [g]</t>
  </si>
  <si>
    <t>SA 0.15s [g]</t>
  </si>
  <si>
    <t>SA 0.2s [g]</t>
  </si>
  <si>
    <r>
      <t>S</t>
    </r>
    <r>
      <rPr>
        <b/>
        <vertAlign val="subscript"/>
        <sz val="11"/>
        <color theme="1"/>
        <rFont val="Aptos Narrow"/>
        <family val="2"/>
      </rPr>
      <t>α,RP</t>
    </r>
  </si>
  <si>
    <r>
      <t>F</t>
    </r>
    <r>
      <rPr>
        <b/>
        <vertAlign val="subscript"/>
        <sz val="11"/>
        <color theme="1"/>
        <rFont val="Aptos Narrow"/>
        <family val="2"/>
      </rPr>
      <t>α</t>
    </r>
    <r>
      <rPr>
        <b/>
        <sz val="11"/>
        <color theme="1"/>
        <rFont val="Aptos Narrow"/>
        <family val="2"/>
        <scheme val="minor"/>
      </rPr>
      <t xml:space="preserve"> (soil C)</t>
    </r>
  </si>
  <si>
    <t>SA 1.0s [g]</t>
  </si>
  <si>
    <r>
      <t>F</t>
    </r>
    <r>
      <rPr>
        <b/>
        <vertAlign val="subscript"/>
        <sz val="11"/>
        <color theme="1"/>
        <rFont val="Aptos Narrow"/>
        <family val="2"/>
      </rPr>
      <t>β</t>
    </r>
    <r>
      <rPr>
        <b/>
        <sz val="11"/>
        <color theme="1"/>
        <rFont val="Aptos Narrow"/>
        <family val="2"/>
        <scheme val="minor"/>
      </rPr>
      <t xml:space="preserve"> (soil C)</t>
    </r>
  </si>
  <si>
    <r>
      <t>T</t>
    </r>
    <r>
      <rPr>
        <b/>
        <vertAlign val="subscript"/>
        <sz val="11"/>
        <color theme="1"/>
        <rFont val="Aptos Narrow"/>
        <family val="2"/>
        <scheme val="minor"/>
      </rPr>
      <t>C</t>
    </r>
  </si>
  <si>
    <t>s</t>
  </si>
  <si>
    <t>T</t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</si>
  <si>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0.5s</t>
    </r>
    <r>
      <rPr>
        <b/>
        <sz val="11"/>
        <color theme="1"/>
        <rFont val="Aptos Narrow"/>
        <family val="2"/>
        <scheme val="minor"/>
      </rPr>
      <t xml:space="preserve"> using TC</t>
    </r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</si>
  <si>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0.5s</t>
    </r>
    <r>
      <rPr>
        <b/>
        <sz val="11"/>
        <color theme="1"/>
        <rFont val="Aptos Narrow"/>
        <family val="2"/>
        <scheme val="minor"/>
      </rPr>
      <t xml:space="preserve"> using 0.2s</t>
    </r>
  </si>
  <si>
    <r>
      <t>S</t>
    </r>
    <r>
      <rPr>
        <b/>
        <vertAlign val="subscript"/>
        <sz val="11"/>
        <color theme="1"/>
        <rFont val="Aptos Narrow"/>
        <family val="2"/>
      </rPr>
      <t>α,475</t>
    </r>
  </si>
  <si>
    <r>
      <t>S</t>
    </r>
    <r>
      <rPr>
        <b/>
        <vertAlign val="subscript"/>
        <sz val="11"/>
        <color theme="1"/>
        <rFont val="Aptos Narrow"/>
        <family val="2"/>
      </rPr>
      <t>β,475</t>
    </r>
  </si>
  <si>
    <t>g</t>
  </si>
  <si>
    <r>
      <t>λ</t>
    </r>
    <r>
      <rPr>
        <b/>
        <vertAlign val="subscript"/>
        <sz val="11"/>
        <color theme="1"/>
        <rFont val="Aptos Narrow"/>
        <family val="2"/>
      </rPr>
      <t>0.85g</t>
    </r>
  </si>
  <si>
    <r>
      <t>SA</t>
    </r>
    <r>
      <rPr>
        <b/>
        <vertAlign val="subscript"/>
        <sz val="11"/>
        <color theme="1"/>
        <rFont val="Aptos Narrow"/>
        <family val="2"/>
        <scheme val="minor"/>
      </rPr>
      <t>0.5s,475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</si>
</sst>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1"/>
      <color rgb="FF0070C0"/>
      <name val="Aptos Narrow"/>
      <family val="2"/>
      <scheme val="minor"/>
    </font>
    <font>
      <b/>
      <vertAlign val="subscript"/>
      <sz val="11"/>
      <color theme="1"/>
      <name val="Aptos Narrow"/>
      <family val="2"/>
    </font>
    <font>
      <b/>
      <vertAlign val="subscript"/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4" fillId="0" borderId="2" xfId="0" applyFont="1" applyBorder="1"/>
    <xf numFmtId="164" fontId="4" fillId="0" borderId="2" xfId="0" applyNumberFormat="1" applyFont="1" applyBorder="1"/>
    <xf numFmtId="0" fontId="0" fillId="0" borderId="3" xfId="0" applyBorder="1"/>
    <xf numFmtId="0" fontId="0" fillId="0" borderId="4" xfId="0" applyBorder="1"/>
    <xf numFmtId="164" fontId="4" fillId="0" borderId="5" xfId="0" applyNumberFormat="1" applyFont="1" applyBorder="1"/>
    <xf numFmtId="0" fontId="2" fillId="0" borderId="1" xfId="0" applyFont="1" applyBorder="1"/>
    <xf numFmtId="0" fontId="2" fillId="0" borderId="0" xfId="0" applyFont="1"/>
    <xf numFmtId="0" fontId="2" fillId="0" borderId="2" xfId="0" applyFont="1" applyBorder="1"/>
    <xf numFmtId="0" fontId="2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2" fontId="1" fillId="0" borderId="0" xfId="0" applyNumberFormat="1" applyFont="1"/>
    <xf numFmtId="0" fontId="4" fillId="0" borderId="0" xfId="0" applyFont="1"/>
    <xf numFmtId="0" fontId="4" fillId="0" borderId="5" xfId="0" applyFont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0" borderId="0" xfId="0" applyFont="1" applyAlignment="1">
      <alignment horizontal="center"/>
    </xf>
    <xf numFmtId="11" fontId="4" fillId="0" borderId="0" xfId="0" applyNumberFormat="1" applyFont="1"/>
    <xf numFmtId="11" fontId="1" fillId="0" borderId="0" xfId="0" applyNumberFormat="1" applyFont="1"/>
    <xf numFmtId="2" fontId="4" fillId="0" borderId="0" xfId="0" applyNumberFormat="1" applyFont="1"/>
    <xf numFmtId="0" fontId="7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Mean Hazard - Tailfingen</a:t>
            </a:r>
            <a:r>
              <a:rPr lang="de-DE" baseline="0">
                <a:solidFill>
                  <a:sysClr val="windowText" lastClr="000000"/>
                </a:solidFill>
              </a:rPr>
              <a:t> - ESHM20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6924460100382188"/>
          <c:y val="0.12256090929291152"/>
          <c:w val="0.76975387944927931"/>
          <c:h val="0.75478477302802927"/>
        </c:manualLayout>
      </c:layout>
      <c:scatterChart>
        <c:scatterStyle val="lineMarker"/>
        <c:varyColors val="0"/>
        <c:ser>
          <c:idx val="0"/>
          <c:order val="0"/>
          <c:tx>
            <c:v>ESHM20 - Mean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1-4C9B-8F86-5FB13F55C9C3}"/>
            </c:ext>
          </c:extLst>
        </c:ser>
        <c:ser>
          <c:idx val="1"/>
          <c:order val="1"/>
          <c:tx>
            <c:v>1st. Order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hazard_calcs!$O$9:$O$33</c:f>
              <c:numCache>
                <c:formatCode>0.00E+00</c:formatCode>
                <c:ptCount val="25"/>
                <c:pt idx="0">
                  <c:v>44.944914344809568</c:v>
                </c:pt>
                <c:pt idx="1">
                  <c:v>23.192709964052042</c:v>
                </c:pt>
                <c:pt idx="2">
                  <c:v>11.968045341636087</c:v>
                </c:pt>
                <c:pt idx="3">
                  <c:v>6.1758121700858331</c:v>
                </c:pt>
                <c:pt idx="4">
                  <c:v>3.1868784876240697</c:v>
                </c:pt>
                <c:pt idx="5">
                  <c:v>1.6445104897064631</c:v>
                </c:pt>
                <c:pt idx="6">
                  <c:v>0.84860971090280923</c:v>
                </c:pt>
                <c:pt idx="7">
                  <c:v>0.43790434379330073</c:v>
                </c:pt>
                <c:pt idx="8">
                  <c:v>0.22596983449736632</c:v>
                </c:pt>
                <c:pt idx="9">
                  <c:v>0.1166062218362072</c:v>
                </c:pt>
                <c:pt idx="10">
                  <c:v>6.0171793290029398E-2</c:v>
                </c:pt>
                <c:pt idx="11">
                  <c:v>3.1050184780783092E-2</c:v>
                </c:pt>
                <c:pt idx="12">
                  <c:v>1.6022689439050771E-2</c:v>
                </c:pt>
                <c:pt idx="13">
                  <c:v>8.2681179720617663E-3</c:v>
                </c:pt>
                <c:pt idx="14">
                  <c:v>4.2665604137559635E-3</c:v>
                </c:pt>
                <c:pt idx="15">
                  <c:v>2.2016543684729786E-3</c:v>
                </c:pt>
                <c:pt idx="16">
                  <c:v>1.1361099881295926E-3</c:v>
                </c:pt>
                <c:pt idx="17">
                  <c:v>5.8626182546683489E-4</c:v>
                </c:pt>
                <c:pt idx="18">
                  <c:v>3.0252610524187002E-4</c:v>
                </c:pt>
                <c:pt idx="19">
                  <c:v>1.5611121163960993E-4</c:v>
                </c:pt>
                <c:pt idx="20">
                  <c:v>8.0557380026032135E-5</c:v>
                </c:pt>
                <c:pt idx="21">
                  <c:v>4.1569669545449453E-5</c:v>
                </c:pt>
                <c:pt idx="22">
                  <c:v>2.1451013233088729E-5</c:v>
                </c:pt>
                <c:pt idx="23">
                  <c:v>1.1069271750992376E-5</c:v>
                </c:pt>
                <c:pt idx="24">
                  <c:v>5.7120274836633856E-6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71-4C9B-8F86-5FB13F55C9C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hazard_calcs!$T$4</c:f>
              <c:numCache>
                <c:formatCode>General</c:formatCode>
                <c:ptCount val="1"/>
                <c:pt idx="0">
                  <c:v>0.14106065216908439</c:v>
                </c:pt>
              </c:numCache>
            </c:numRef>
          </c:xVal>
          <c:yVal>
            <c:numRef>
              <c:f>hazard_calcs!$S$4</c:f>
              <c:numCache>
                <c:formatCode>General</c:formatCode>
                <c:ptCount val="1"/>
                <c:pt idx="0">
                  <c:v>2.1052631578947368E-3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71-4C9B-8F86-5FB13F55C9C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hazard_calcs!$T$5</c:f>
              <c:numCache>
                <c:formatCode>General</c:formatCode>
                <c:ptCount val="1"/>
                <c:pt idx="0">
                  <c:v>0.53307040422459473</c:v>
                </c:pt>
              </c:numCache>
            </c:numRef>
          </c:xVal>
          <c:yVal>
            <c:numRef>
              <c:f>hazard_calcs!$S$5</c:f>
              <c:numCache>
                <c:formatCode>General</c:formatCode>
                <c:ptCount val="1"/>
                <c:pt idx="0">
                  <c:v>2.0100502512562814E-4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71-4C9B-8F86-5FB13F55C9C3}"/>
            </c:ext>
          </c:extLst>
        </c:ser>
        <c:ser>
          <c:idx val="4"/>
          <c:order val="4"/>
          <c:tx>
            <c:v>2nd. Order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hazard_calcs!$P$9:$P$33</c:f>
              <c:numCache>
                <c:formatCode>0.00E+00</c:formatCode>
                <c:ptCount val="25"/>
                <c:pt idx="0">
                  <c:v>1.7086689786943526E-2</c:v>
                </c:pt>
                <c:pt idx="1">
                  <c:v>2.2070409772819748E-2</c:v>
                </c:pt>
                <c:pt idx="2">
                  <c:v>2.6951314221598795E-2</c:v>
                </c:pt>
                <c:pt idx="3">
                  <c:v>3.1114804674702901E-2</c:v>
                </c:pt>
                <c:pt idx="4">
                  <c:v>3.3960293755769776E-2</c:v>
                </c:pt>
                <c:pt idx="5">
                  <c:v>3.5042346133453355E-2</c:v>
                </c:pt>
                <c:pt idx="6">
                  <c:v>3.4184738080506191E-2</c:v>
                </c:pt>
                <c:pt idx="7">
                  <c:v>3.1527438435500585E-2</c:v>
                </c:pt>
                <c:pt idx="8">
                  <c:v>2.7489222273366167E-2</c:v>
                </c:pt>
                <c:pt idx="9">
                  <c:v>2.2659669646948953E-2</c:v>
                </c:pt>
                <c:pt idx="10">
                  <c:v>1.7658834322378209E-2</c:v>
                </c:pt>
                <c:pt idx="11">
                  <c:v>1.3010315691610166E-2</c:v>
                </c:pt>
                <c:pt idx="12">
                  <c:v>9.0621443646825457E-3</c:v>
                </c:pt>
                <c:pt idx="13">
                  <c:v>5.9674869292697915E-3</c:v>
                </c:pt>
                <c:pt idx="14">
                  <c:v>3.7150897639304549E-3</c:v>
                </c:pt>
                <c:pt idx="15">
                  <c:v>2.1865755950386703E-3</c:v>
                </c:pt>
                <c:pt idx="16">
                  <c:v>1.2166818282128458E-3</c:v>
                </c:pt>
                <c:pt idx="17">
                  <c:v>6.4003966964424946E-4</c:v>
                </c:pt>
                <c:pt idx="18">
                  <c:v>3.1831280527457728E-4</c:v>
                </c:pt>
                <c:pt idx="19">
                  <c:v>1.4966445549858808E-4</c:v>
                </c:pt>
                <c:pt idx="20">
                  <c:v>6.6527403706387149E-5</c:v>
                </c:pt>
                <c:pt idx="21">
                  <c:v>2.7957596005007937E-5</c:v>
                </c:pt>
                <c:pt idx="22">
                  <c:v>1.1107502481908599E-5</c:v>
                </c:pt>
                <c:pt idx="23">
                  <c:v>4.1720581944683601E-6</c:v>
                </c:pt>
                <c:pt idx="24">
                  <c:v>1.4814999495605485E-6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71-4C9B-8F86-5FB13F55C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64928"/>
        <c:axId val="94876448"/>
      </c:scatterChart>
      <c:valAx>
        <c:axId val="948649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Spectral Acceleration, SA(0.5s)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E+0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876448"/>
        <c:crossesAt val="1.0000000000000005E-9"/>
        <c:crossBetween val="midCat"/>
      </c:valAx>
      <c:valAx>
        <c:axId val="948764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b="0">
                    <a:solidFill>
                      <a:sysClr val="windowText" lastClr="000000"/>
                    </a:solidFill>
                  </a:rPr>
                  <a:t>Mean Annual</a:t>
                </a:r>
                <a:r>
                  <a:rPr lang="de-DE" b="0" baseline="0">
                    <a:solidFill>
                      <a:sysClr val="windowText" lastClr="000000"/>
                    </a:solidFill>
                  </a:rPr>
                  <a:t> Freq	uency of Exceedence, MAFE</a:t>
                </a:r>
                <a:endParaRPr lang="de-DE" b="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E+0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864928"/>
        <c:crossesAt val="1.0000000000000004E-5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6713404245521946"/>
          <c:y val="0.14788662341737752"/>
          <c:w val="0.25330478427038727"/>
          <c:h val="0.1648362974068885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69225721784776"/>
          <c:y val="5.0925925925925923E-2"/>
          <c:w val="0.81875831146106748"/>
          <c:h val="0.84204505686789155"/>
        </c:manualLayout>
      </c:layout>
      <c:scatterChart>
        <c:scatterStyle val="lineMarker"/>
        <c:varyColors val="0"/>
        <c:ser>
          <c:idx val="1"/>
          <c:order val="1"/>
          <c:tx>
            <c:strRef>
              <c:f>hazard_calcs!$D$8</c:f>
              <c:strCache>
                <c:ptCount val="1"/>
                <c:pt idx="0">
                  <c:v>SA 0.1s [g]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hazard_calcs!$D$9:$D$33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7.0430975583351868E-4</c:v>
                </c:pt>
                <c:pt idx="2">
                  <c:v>1.0851079887512728E-3</c:v>
                </c:pt>
                <c:pt idx="3">
                  <c:v>1.7101685694036963E-3</c:v>
                </c:pt>
                <c:pt idx="4">
                  <c:v>2.6897176279564949E-3</c:v>
                </c:pt>
                <c:pt idx="5">
                  <c:v>4.2154558482998591E-3</c:v>
                </c:pt>
                <c:pt idx="6">
                  <c:v>6.5828026542648676E-3</c:v>
                </c:pt>
                <c:pt idx="7">
                  <c:v>1.0254212753537445E-2</c:v>
                </c:pt>
                <c:pt idx="8">
                  <c:v>1.6073309297985734E-2</c:v>
                </c:pt>
                <c:pt idx="9">
                  <c:v>2.6161009928460984E-2</c:v>
                </c:pt>
                <c:pt idx="10">
                  <c:v>4.2592939924630098E-2</c:v>
                </c:pt>
                <c:pt idx="11">
                  <c:v>6.8925392316648987E-2</c:v>
                </c:pt>
                <c:pt idx="12">
                  <c:v>0.11118536721669581</c:v>
                </c:pt>
                <c:pt idx="13">
                  <c:v>0.17959703922944967</c:v>
                </c:pt>
                <c:pt idx="14">
                  <c:v>0.27679541596616286</c:v>
                </c:pt>
                <c:pt idx="15">
                  <c:v>0.41202697959280671</c:v>
                </c:pt>
                <c:pt idx="16">
                  <c:v>0.60006488482404219</c:v>
                </c:pt>
                <c:pt idx="17">
                  <c:v>0.86470277346017121</c:v>
                </c:pt>
                <c:pt idx="18">
                  <c:v>1.2432872880736825</c:v>
                </c:pt>
                <c:pt idx="19">
                  <c:v>1.7978878753071676</c:v>
                </c:pt>
                <c:pt idx="20">
                  <c:v>2.6346710292538762</c:v>
                </c:pt>
                <c:pt idx="21">
                  <c:v>3.926482828549207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A8-4338-A5D5-7DBB5E19274A}"/>
            </c:ext>
          </c:extLst>
        </c:ser>
        <c:ser>
          <c:idx val="2"/>
          <c:order val="2"/>
          <c:tx>
            <c:strRef>
              <c:f>hazard_calcs!$E$8</c:f>
              <c:strCache>
                <c:ptCount val="1"/>
                <c:pt idx="0">
                  <c:v>SA 0.15s [g]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hazard_calcs!$E$9:$E$33</c:f>
              <c:numCache>
                <c:formatCode>0.00E+00</c:formatCode>
                <c:ptCount val="25"/>
                <c:pt idx="0">
                  <c:v>6.3375246423011237E-4</c:v>
                </c:pt>
                <c:pt idx="1">
                  <c:v>9.6827022110385953E-4</c:v>
                </c:pt>
                <c:pt idx="2">
                  <c:v>1.4102757786895433E-3</c:v>
                </c:pt>
                <c:pt idx="3">
                  <c:v>2.2445293263589823E-3</c:v>
                </c:pt>
                <c:pt idx="4">
                  <c:v>3.4674374001062106E-3</c:v>
                </c:pt>
                <c:pt idx="5">
                  <c:v>5.3796808626947676E-3</c:v>
                </c:pt>
                <c:pt idx="6">
                  <c:v>8.320376682798036E-3</c:v>
                </c:pt>
                <c:pt idx="7">
                  <c:v>1.2846108989849891E-2</c:v>
                </c:pt>
                <c:pt idx="8">
                  <c:v>1.9840440204310934E-2</c:v>
                </c:pt>
                <c:pt idx="9">
                  <c:v>3.0720026221131305E-2</c:v>
                </c:pt>
                <c:pt idx="10">
                  <c:v>4.7704478647249943E-2</c:v>
                </c:pt>
                <c:pt idx="11">
                  <c:v>7.4590991878653312E-2</c:v>
                </c:pt>
                <c:pt idx="12">
                  <c:v>0.11939547275077031</c:v>
                </c:pt>
                <c:pt idx="13">
                  <c:v>0.18571657156707347</c:v>
                </c:pt>
                <c:pt idx="14">
                  <c:v>0.28002555157971232</c:v>
                </c:pt>
                <c:pt idx="15">
                  <c:v>0.41132469644269076</c:v>
                </c:pt>
                <c:pt idx="16">
                  <c:v>0.59346993716056584</c:v>
                </c:pt>
                <c:pt idx="17">
                  <c:v>0.84829706332976595</c:v>
                </c:pt>
                <c:pt idx="18">
                  <c:v>1.2096036813599884</c:v>
                </c:pt>
                <c:pt idx="19">
                  <c:v>1.7326527483032428</c:v>
                </c:pt>
                <c:pt idx="20">
                  <c:v>2.5106497090967337</c:v>
                </c:pt>
                <c:pt idx="21">
                  <c:v>3.7009850496451113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A8-4338-A5D5-7DBB5E19274A}"/>
            </c:ext>
          </c:extLst>
        </c:ser>
        <c:ser>
          <c:idx val="3"/>
          <c:order val="3"/>
          <c:tx>
            <c:strRef>
              <c:f>hazard_calcs!$F$8</c:f>
              <c:strCache>
                <c:ptCount val="1"/>
                <c:pt idx="0">
                  <c:v>SA 0.2s [g]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hazard_calcs!$F$9:$F$33</c:f>
              <c:numCache>
                <c:formatCode>0.00E+00</c:formatCode>
                <c:ptCount val="25"/>
                <c:pt idx="0">
                  <c:v>7.7088572141703745E-4</c:v>
                </c:pt>
                <c:pt idx="1">
                  <c:v>1.1670903170462599E-3</c:v>
                </c:pt>
                <c:pt idx="2">
                  <c:v>1.7667407305897926E-3</c:v>
                </c:pt>
                <c:pt idx="3">
                  <c:v>2.6707395183475017E-3</c:v>
                </c:pt>
                <c:pt idx="4">
                  <c:v>4.0278580699525121E-3</c:v>
                </c:pt>
                <c:pt idx="5">
                  <c:v>6.060240320271814E-3</c:v>
                </c:pt>
                <c:pt idx="6">
                  <c:v>9.1035416970755741E-3</c:v>
                </c:pt>
                <c:pt idx="7">
                  <c:v>1.3673408964231231E-2</c:v>
                </c:pt>
                <c:pt idx="8">
                  <c:v>2.0575969103177119E-2</c:v>
                </c:pt>
                <c:pt idx="9">
                  <c:v>3.1090720765209905E-2</c:v>
                </c:pt>
                <c:pt idx="10">
                  <c:v>4.7224201618999033E-2</c:v>
                </c:pt>
                <c:pt idx="11">
                  <c:v>7.1949062717309761E-2</c:v>
                </c:pt>
                <c:pt idx="12">
                  <c:v>0.11063609155553744</c:v>
                </c:pt>
                <c:pt idx="13">
                  <c:v>0.1695653591028484</c:v>
                </c:pt>
                <c:pt idx="14">
                  <c:v>0.25266945069097135</c:v>
                </c:pt>
                <c:pt idx="15">
                  <c:v>0.36633247758007703</c:v>
                </c:pt>
                <c:pt idx="16">
                  <c:v>0.51928197648933616</c:v>
                </c:pt>
                <c:pt idx="17">
                  <c:v>0.7300432454303839</c:v>
                </c:pt>
                <c:pt idx="18">
                  <c:v>1.0500202291196372</c:v>
                </c:pt>
                <c:pt idx="19">
                  <c:v>1.516484908092844</c:v>
                </c:pt>
                <c:pt idx="20">
                  <c:v>2.2037496065663298</c:v>
                </c:pt>
                <c:pt idx="21">
                  <c:v>3.2230726615246068</c:v>
                </c:pt>
                <c:pt idx="22">
                  <c:v>4.7526795974846712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A8-4338-A5D5-7DBB5E19274A}"/>
            </c:ext>
          </c:extLst>
        </c:ser>
        <c:ser>
          <c:idx val="4"/>
          <c:order val="4"/>
          <c:tx>
            <c:strRef>
              <c:f>hazard_calcs!$G$8</c:f>
              <c:strCache>
                <c:ptCount val="1"/>
                <c:pt idx="0">
                  <c:v>SA 1.0s [g]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hazard_calcs!$G$9:$G$33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5.0000000000000001E-4</c:v>
                </c:pt>
                <c:pt idx="2">
                  <c:v>5.0000000000000001E-4</c:v>
                </c:pt>
                <c:pt idx="3">
                  <c:v>6.4379175884156121E-4</c:v>
                </c:pt>
                <c:pt idx="4">
                  <c:v>9.3032902432895988E-4</c:v>
                </c:pt>
                <c:pt idx="5">
                  <c:v>1.3489980882469808E-3</c:v>
                </c:pt>
                <c:pt idx="6">
                  <c:v>1.961664060981993E-3</c:v>
                </c:pt>
                <c:pt idx="7">
                  <c:v>2.8558652480264158E-3</c:v>
                </c:pt>
                <c:pt idx="8">
                  <c:v>4.1515965479838402E-3</c:v>
                </c:pt>
                <c:pt idx="9">
                  <c:v>6.0119185367699252E-3</c:v>
                </c:pt>
                <c:pt idx="10">
                  <c:v>8.661926512871343E-3</c:v>
                </c:pt>
                <c:pt idx="11">
                  <c:v>1.2421923875970159E-2</c:v>
                </c:pt>
                <c:pt idx="12">
                  <c:v>1.7762433917808559E-2</c:v>
                </c:pt>
                <c:pt idx="13">
                  <c:v>2.5401356370580601E-2</c:v>
                </c:pt>
                <c:pt idx="14">
                  <c:v>3.6477865390004229E-2</c:v>
                </c:pt>
                <c:pt idx="15">
                  <c:v>5.2816866096286705E-2</c:v>
                </c:pt>
                <c:pt idx="16">
                  <c:v>7.7234793196702733E-2</c:v>
                </c:pt>
                <c:pt idx="17">
                  <c:v>0.11373028805245365</c:v>
                </c:pt>
                <c:pt idx="18">
                  <c:v>0.17132896556280247</c:v>
                </c:pt>
                <c:pt idx="19">
                  <c:v>0.26100611890770015</c:v>
                </c:pt>
                <c:pt idx="20">
                  <c:v>0.39563774848955335</c:v>
                </c:pt>
                <c:pt idx="21">
                  <c:v>0.59649362881667534</c:v>
                </c:pt>
                <c:pt idx="22">
                  <c:v>0.89758206675045171</c:v>
                </c:pt>
                <c:pt idx="23">
                  <c:v>1.3425850686988936</c:v>
                </c:pt>
                <c:pt idx="24">
                  <c:v>2.0198296785724241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A8-4338-A5D5-7DBB5E19274A}"/>
            </c:ext>
          </c:extLst>
        </c:ser>
        <c:ser>
          <c:idx val="5"/>
          <c:order val="5"/>
          <c:tx>
            <c:strRef>
              <c:f>hazard_calcs!$H$8</c:f>
              <c:strCache>
                <c:ptCount val="1"/>
                <c:pt idx="0">
                  <c:v>Sα,RP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hazard_calcs!$H$9:$H$33</c:f>
              <c:numCache>
                <c:formatCode>0.00E+00</c:formatCode>
                <c:ptCount val="25"/>
                <c:pt idx="0">
                  <c:v>6.3487939521571658E-4</c:v>
                </c:pt>
                <c:pt idx="1">
                  <c:v>9.4655676466121269E-4</c:v>
                </c:pt>
                <c:pt idx="2">
                  <c:v>1.4207081660102029E-3</c:v>
                </c:pt>
                <c:pt idx="3">
                  <c:v>2.2084791380367268E-3</c:v>
                </c:pt>
                <c:pt idx="4">
                  <c:v>3.3950043660050722E-3</c:v>
                </c:pt>
                <c:pt idx="5">
                  <c:v>5.2184590104221466E-3</c:v>
                </c:pt>
                <c:pt idx="6">
                  <c:v>8.0022403447128267E-3</c:v>
                </c:pt>
                <c:pt idx="7">
                  <c:v>1.2257910235872855E-2</c:v>
                </c:pt>
                <c:pt idx="8">
                  <c:v>1.8829906201824596E-2</c:v>
                </c:pt>
                <c:pt idx="9">
                  <c:v>2.9323918971600731E-2</c:v>
                </c:pt>
                <c:pt idx="10">
                  <c:v>4.584054006362636E-2</c:v>
                </c:pt>
                <c:pt idx="11">
                  <c:v>7.1821815637537353E-2</c:v>
                </c:pt>
                <c:pt idx="12">
                  <c:v>0.11373897717433452</c:v>
                </c:pt>
                <c:pt idx="13">
                  <c:v>0.17829298996645718</c:v>
                </c:pt>
                <c:pt idx="14">
                  <c:v>0.26983013941228218</c:v>
                </c:pt>
                <c:pt idx="15">
                  <c:v>0.39656138453852491</c:v>
                </c:pt>
                <c:pt idx="16">
                  <c:v>0.57093893282464803</c:v>
                </c:pt>
                <c:pt idx="17">
                  <c:v>0.81434769407344032</c:v>
                </c:pt>
                <c:pt idx="18">
                  <c:v>1.167637066184436</c:v>
                </c:pt>
                <c:pt idx="19">
                  <c:v>1.6823418439010849</c:v>
                </c:pt>
                <c:pt idx="20">
                  <c:v>2.4496901149723134</c:v>
                </c:pt>
                <c:pt idx="21">
                  <c:v>3.6168468465729746</c:v>
                </c:pt>
                <c:pt idx="22">
                  <c:v>4.917559865828224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A8-4338-A5D5-7DBB5E192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154464"/>
        <c:axId val="212915398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hazard_calcs!$C$8</c15:sqref>
                        </c15:formulaRef>
                      </c:ext>
                    </c:extLst>
                    <c:strCache>
                      <c:ptCount val="1"/>
                      <c:pt idx="0">
                        <c:v>sa(0.5s)-Rock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hazard_calcs!$C$9:$C$33</c15:sqref>
                        </c15:formulaRef>
                      </c:ext>
                    </c:extLst>
                    <c:numCache>
                      <c:formatCode>0.00E+00</c:formatCode>
                      <c:ptCount val="25"/>
                      <c:pt idx="0">
                        <c:v>5.0000000000000001E-4</c:v>
                      </c:pt>
                      <c:pt idx="1">
                        <c:v>7.2710799999999899E-4</c:v>
                      </c:pt>
                      <c:pt idx="2">
                        <c:v>1.0573710000000001E-3</c:v>
                      </c:pt>
                      <c:pt idx="3">
                        <c:v>1.53764599999999E-3</c:v>
                      </c:pt>
                      <c:pt idx="4">
                        <c:v>2.2360679999999899E-3</c:v>
                      </c:pt>
                      <c:pt idx="5">
                        <c:v>3.251725E-3</c:v>
                      </c:pt>
                      <c:pt idx="6">
                        <c:v>4.7287079999999903E-3</c:v>
                      </c:pt>
                      <c:pt idx="7">
                        <c:v>6.8765600000000003E-3</c:v>
                      </c:pt>
                      <c:pt idx="8">
                        <c:v>0.01</c:v>
                      </c:pt>
                      <c:pt idx="9">
                        <c:v>1.4542153999999899E-2</c:v>
                      </c:pt>
                      <c:pt idx="10">
                        <c:v>2.1147425000000001E-2</c:v>
                      </c:pt>
                      <c:pt idx="11">
                        <c:v>3.0752912E-2</c:v>
                      </c:pt>
                      <c:pt idx="12">
                        <c:v>4.4721360000000002E-2</c:v>
                      </c:pt>
                      <c:pt idx="13">
                        <c:v>6.5034490999999903E-2</c:v>
                      </c:pt>
                      <c:pt idx="14">
                        <c:v>9.4574161000000004E-2</c:v>
                      </c:pt>
                      <c:pt idx="15">
                        <c:v>0.13753120399999899</c:v>
                      </c:pt>
                      <c:pt idx="16">
                        <c:v>0.2</c:v>
                      </c:pt>
                      <c:pt idx="17">
                        <c:v>0.290843087</c:v>
                      </c:pt>
                      <c:pt idx="18">
                        <c:v>0.42294850499999898</c:v>
                      </c:pt>
                      <c:pt idx="19">
                        <c:v>0.61505824399999898</c:v>
                      </c:pt>
                      <c:pt idx="20">
                        <c:v>0.89442719100000001</c:v>
                      </c:pt>
                      <c:pt idx="21">
                        <c:v>1.3006898250000001</c:v>
                      </c:pt>
                      <c:pt idx="22">
                        <c:v>1.8914832180000001</c:v>
                      </c:pt>
                      <c:pt idx="23">
                        <c:v>2.7506240879999901</c:v>
                      </c:pt>
                      <c:pt idx="24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hazard_calcs!$B$9:$B$33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0.16636684665341964</c:v>
                      </c:pt>
                      <c:pt idx="1">
                        <c:v>0.14658699538040401</c:v>
                      </c:pt>
                      <c:pt idx="2">
                        <c:v>0.12634389374394644</c:v>
                      </c:pt>
                      <c:pt idx="3">
                        <c:v>0.10671207902668123</c:v>
                      </c:pt>
                      <c:pt idx="4">
                        <c:v>8.8426995061408054E-2</c:v>
                      </c:pt>
                      <c:pt idx="5">
                        <c:v>7.192163036525169E-2</c:v>
                      </c:pt>
                      <c:pt idx="6">
                        <c:v>5.7401385111166665E-2</c:v>
                      </c:pt>
                      <c:pt idx="7">
                        <c:v>4.4899158003185044E-2</c:v>
                      </c:pt>
                      <c:pt idx="8">
                        <c:v>3.4340907901539569E-2</c:v>
                      </c:pt>
                      <c:pt idx="9">
                        <c:v>2.5595202690606049E-2</c:v>
                      </c:pt>
                      <c:pt idx="10">
                        <c:v>1.8517480102024333E-2</c:v>
                      </c:pt>
                      <c:pt idx="11">
                        <c:v>1.2962596776574542E-2</c:v>
                      </c:pt>
                      <c:pt idx="12">
                        <c:v>8.7646736231386645E-3</c:v>
                      </c:pt>
                      <c:pt idx="13">
                        <c:v>5.7188450696316791E-3</c:v>
                      </c:pt>
                      <c:pt idx="14">
                        <c:v>3.5923443363975343E-3</c:v>
                      </c:pt>
                      <c:pt idx="15">
                        <c:v>2.1580749386121588E-3</c:v>
                      </c:pt>
                      <c:pt idx="16">
                        <c:v>1.223342879099208E-3</c:v>
                      </c:pt>
                      <c:pt idx="17">
                        <c:v>6.4110651930390252E-4</c:v>
                      </c:pt>
                      <c:pt idx="18">
                        <c:v>3.0286159735653481E-4</c:v>
                      </c:pt>
                      <c:pt idx="19">
                        <c:v>1.2517087784936801E-4</c:v>
                      </c:pt>
                      <c:pt idx="20">
                        <c:v>4.3687680612023856E-5</c:v>
                      </c:pt>
                      <c:pt idx="21">
                        <c:v>1.2323796119018593E-5</c:v>
                      </c:pt>
                      <c:pt idx="22">
                        <c:v>2.5601638539826951E-6</c:v>
                      </c:pt>
                      <c:pt idx="23">
                        <c:v>3.4000289003364894E-7</c:v>
                      </c:pt>
                      <c:pt idx="24">
                        <c:v>2.0000010000581783E-8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3A8-4338-A5D5-7DBB5E19274A}"/>
                  </c:ext>
                </c:extLst>
              </c15:ser>
            </c15:filteredScatterSeries>
          </c:ext>
        </c:extLst>
      </c:scatterChart>
      <c:valAx>
        <c:axId val="212915446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9153984"/>
        <c:crossesAt val="1.0000000000000005E-8"/>
        <c:crossBetween val="midCat"/>
      </c:valAx>
      <c:valAx>
        <c:axId val="2129153984"/>
        <c:scaling>
          <c:logBase val="2"/>
          <c:orientation val="minMax"/>
          <c:min val="1.0000000000000005E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9154464"/>
        <c:crossesAt val="1.0000000000000003E-4"/>
        <c:crossBetween val="midCat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240201224846895"/>
          <c:y val="0.26967483231262757"/>
          <c:w val="0.19936176727909011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66666666666666E-2"/>
          <c:y val="5.0925925925925923E-2"/>
          <c:w val="0.83825590551181095"/>
          <c:h val="0.79809820647419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hazard_calcs!$C$8</c:f>
              <c:strCache>
                <c:ptCount val="1"/>
                <c:pt idx="0">
                  <c:v>sa(0.5s)-Rock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hazard_calcs!$C$9:$C$30</c:f>
              <c:numCache>
                <c:formatCode>0.00E+00</c:formatCode>
                <c:ptCount val="22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</c:numCache>
            </c:numRef>
          </c:xVal>
          <c:yVal>
            <c:numRef>
              <c:f>hazard_calcs!$B$9:$B$30</c:f>
              <c:numCache>
                <c:formatCode>General</c:formatCode>
                <c:ptCount val="22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08-4875-9163-12431AA7773D}"/>
            </c:ext>
          </c:extLst>
        </c:ser>
        <c:ser>
          <c:idx val="1"/>
          <c:order val="1"/>
          <c:tx>
            <c:strRef>
              <c:f>hazard_calcs!$N$8</c:f>
              <c:strCache>
                <c:ptCount val="1"/>
                <c:pt idx="0">
                  <c:v>sa(0.5s)-Soil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hazard_calcs!$N$9:$N$30</c:f>
              <c:numCache>
                <c:formatCode>0.00E+00</c:formatCode>
                <c:ptCount val="22"/>
                <c:pt idx="0">
                  <c:v>9.3112182456047841E-4</c:v>
                </c:pt>
                <c:pt idx="1">
                  <c:v>1.3540069306032904E-3</c:v>
                </c:pt>
                <c:pt idx="2">
                  <c:v>1.9689162470040347E-3</c:v>
                </c:pt>
                <c:pt idx="3">
                  <c:v>2.8629303603882909E-3</c:v>
                </c:pt>
                <c:pt idx="4">
                  <c:v>4.1626200856943445E-3</c:v>
                </c:pt>
                <c:pt idx="5">
                  <c:v>6.051808988578166E-3</c:v>
                </c:pt>
                <c:pt idx="6">
                  <c:v>8.7972503980834581E-3</c:v>
                </c:pt>
                <c:pt idx="7">
                  <c:v>1.2785653079648802E-2</c:v>
                </c:pt>
                <c:pt idx="8">
                  <c:v>1.8576597931528441E-2</c:v>
                </c:pt>
                <c:pt idx="9">
                  <c:v>2.6976853694941339E-2</c:v>
                </c:pt>
                <c:pt idx="10">
                  <c:v>3.9145800022976122E-2</c:v>
                </c:pt>
                <c:pt idx="11">
                  <c:v>5.6736707431443115E-2</c:v>
                </c:pt>
                <c:pt idx="12">
                  <c:v>8.2070679948957337E-2</c:v>
                </c:pt>
                <c:pt idx="13">
                  <c:v>0.11838025495919505</c:v>
                </c:pt>
                <c:pt idx="14">
                  <c:v>0.17014793086868105</c:v>
                </c:pt>
                <c:pt idx="15">
                  <c:v>0.24336440300559273</c:v>
                </c:pt>
                <c:pt idx="16">
                  <c:v>0.34566554213908474</c:v>
                </c:pt>
                <c:pt idx="17">
                  <c:v>0.48576692347917855</c:v>
                </c:pt>
                <c:pt idx="18">
                  <c:v>0.6702216336592739</c:v>
                </c:pt>
                <c:pt idx="19">
                  <c:v>0.89706017189911191</c:v>
                </c:pt>
                <c:pt idx="20">
                  <c:v>1.1360931084073935</c:v>
                </c:pt>
                <c:pt idx="21">
                  <c:v>1.2809036068138522</c:v>
                </c:pt>
              </c:numCache>
            </c:numRef>
          </c:xVal>
          <c:yVal>
            <c:numRef>
              <c:f>hazard_calcs!$B$9:$B$30</c:f>
              <c:numCache>
                <c:formatCode>General</c:formatCode>
                <c:ptCount val="22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08-4875-9163-12431AA77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002559"/>
        <c:axId val="1425997279"/>
      </c:scatterChart>
      <c:valAx>
        <c:axId val="14260025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SA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997279"/>
        <c:crossesAt val="1.0000000000000004E-5"/>
        <c:crossBetween val="midCat"/>
      </c:valAx>
      <c:valAx>
        <c:axId val="142599727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MAFE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6002559"/>
        <c:crossesAt val="1.0000000000000003E-4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154068241469821"/>
          <c:y val="0.17187445319335085"/>
          <c:w val="0.23012598425196851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</xdr:colOff>
      <xdr:row>2</xdr:row>
      <xdr:rowOff>71437</xdr:rowOff>
    </xdr:from>
    <xdr:to>
      <xdr:col>27</xdr:col>
      <xdr:colOff>581025</xdr:colOff>
      <xdr:row>22</xdr:row>
      <xdr:rowOff>104775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FA8714DF-27A5-B180-57C7-010BFD707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76200</xdr:colOff>
      <xdr:row>34</xdr:row>
      <xdr:rowOff>23812</xdr:rowOff>
    </xdr:from>
    <xdr:to>
      <xdr:col>14</xdr:col>
      <xdr:colOff>76200</xdr:colOff>
      <xdr:row>48</xdr:row>
      <xdr:rowOff>100012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D9BC06E-DCC3-6BF7-B47B-2D03B630C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34</xdr:row>
      <xdr:rowOff>42862</xdr:rowOff>
    </xdr:from>
    <xdr:to>
      <xdr:col>8</xdr:col>
      <xdr:colOff>323850</xdr:colOff>
      <xdr:row>48</xdr:row>
      <xdr:rowOff>119062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327D8A5-44F4-F4BB-870F-0B3BC5B629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cholas Aaron Clemett" id="{42AA527A-3043-4EE8-BA3C-CE436F1FC6C0}" userId="S::clemettn@hsu.hamburg::184f1440-b1a5-4a11-afd7-3d264db8bc34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8-14T14:09:23.23" personId="{42AA527A-3043-4EE8-BA3C-CE436F1FC6C0}" id="{B63D1E6D-45AA-4F1A-8ED5-C28B7F718471}">
    <text>Calculated according to then 2nd gen code</text>
  </threadedComment>
  <threadedComment ref="L8" dT="2025-08-14T07:27:58.42" personId="{42AA527A-3043-4EE8-BA3C-CE436F1FC6C0}" id="{2CBE3821-D35C-460F-8258-D8004F50D4D3}">
    <text>Linear interpolation between (Tc, Fa) and (Tb, Fb)</text>
  </threadedComment>
  <threadedComment ref="M8" dT="2025-08-14T07:27:58.42" personId="{42AA527A-3043-4EE8-BA3C-CE436F1FC6C0}" id="{17232469-E3E9-4980-A383-1FF2053E3AFB}">
    <text>Linear interpolation between (T=0.2, Fa) and (T=1.0, Fb)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B3624-FB34-4FE4-B2B2-603F3AC23C3C}">
  <sheetPr codeName="Tabelle1"/>
  <dimension ref="A1:U33"/>
  <sheetViews>
    <sheetView tabSelected="1" workbookViewId="0">
      <selection activeCell="I6" sqref="I6"/>
    </sheetView>
  </sheetViews>
  <sheetFormatPr baseColWidth="10" defaultRowHeight="15" x14ac:dyDescent="0.25"/>
  <cols>
    <col min="3" max="3" width="13.140625" bestFit="1" customWidth="1"/>
    <col min="4" max="8" width="13.140625" customWidth="1"/>
    <col min="9" max="9" width="13.7109375" bestFit="1" customWidth="1"/>
    <col min="10" max="14" width="13.7109375" customWidth="1"/>
    <col min="15" max="15" width="15.85546875" customWidth="1"/>
    <col min="16" max="16" width="14.85546875" bestFit="1" customWidth="1"/>
    <col min="17" max="17" width="14.85546875" customWidth="1"/>
    <col min="18" max="18" width="12.28515625" bestFit="1" customWidth="1"/>
  </cols>
  <sheetData>
    <row r="1" spans="1:20" ht="15.75" thickBot="1" x14ac:dyDescent="0.3"/>
    <row r="2" spans="1:20" x14ac:dyDescent="0.25">
      <c r="A2" s="11" t="s">
        <v>27</v>
      </c>
      <c r="B2" t="s">
        <v>28</v>
      </c>
      <c r="R2" s="13" t="s">
        <v>2</v>
      </c>
      <c r="S2" s="14"/>
      <c r="T2" s="15"/>
    </row>
    <row r="3" spans="1:20" ht="18" x14ac:dyDescent="0.35">
      <c r="A3" s="11" t="s">
        <v>29</v>
      </c>
      <c r="B3" t="s">
        <v>31</v>
      </c>
      <c r="E3" s="11" t="s">
        <v>45</v>
      </c>
      <c r="F3" cm="1">
        <f t="array" ref="F3">LinearInterpolate(1/475, B9:B33,H9:H33)</f>
        <v>0.40641360769531587</v>
      </c>
      <c r="G3" t="s">
        <v>47</v>
      </c>
      <c r="R3" s="10" t="s">
        <v>24</v>
      </c>
      <c r="S3" s="11" t="s">
        <v>5</v>
      </c>
      <c r="T3" s="12" t="s">
        <v>6</v>
      </c>
    </row>
    <row r="4" spans="1:20" ht="18" x14ac:dyDescent="0.35">
      <c r="A4" s="11" t="s">
        <v>30</v>
      </c>
      <c r="B4" t="s">
        <v>32</v>
      </c>
      <c r="E4" s="11" t="s">
        <v>46</v>
      </c>
      <c r="F4" cm="1">
        <f t="array" ref="F4">LinearInterpolate(1/475, B9:B33,G9:G33)</f>
        <v>5.4196463809318071E-2</v>
      </c>
      <c r="G4" t="s">
        <v>47</v>
      </c>
      <c r="R4" s="2">
        <v>1</v>
      </c>
      <c r="S4" s="4">
        <f>1/475</f>
        <v>2.1052631578947368E-3</v>
      </c>
      <c r="T4" s="5" cm="1">
        <f t="array" ref="T4">LinearInterpolate(S4, $B$9:$B$33,$C$9:$C$33)</f>
        <v>0.14106065216908439</v>
      </c>
    </row>
    <row r="5" spans="1:20" ht="18" x14ac:dyDescent="0.35">
      <c r="E5" s="11" t="s">
        <v>49</v>
      </c>
      <c r="F5" cm="1">
        <f t="array" ref="F5">LinearInterpolate(1/475, B9:B33,C9:C33)</f>
        <v>0.14106065216908439</v>
      </c>
      <c r="G5" t="s">
        <v>47</v>
      </c>
      <c r="R5" s="2">
        <v>2</v>
      </c>
      <c r="S5" s="4">
        <f>1/4975</f>
        <v>2.0100502512562814E-4</v>
      </c>
      <c r="T5" s="5" cm="1">
        <f t="array" ref="T5">LinearInterpolate(S5, $B$9:$B$33,$C$9:$C$33)</f>
        <v>0.53307040422459473</v>
      </c>
    </row>
    <row r="6" spans="1:20" ht="18" x14ac:dyDescent="0.35">
      <c r="A6" s="11" t="s">
        <v>42</v>
      </c>
      <c r="B6">
        <v>0.5</v>
      </c>
      <c r="C6" t="s">
        <v>41</v>
      </c>
      <c r="E6" s="25" t="s">
        <v>48</v>
      </c>
      <c r="F6" cm="1">
        <f t="array" ref="F6">LinearInterpolate(0.85, C9:C33,B9:B33)</f>
        <v>5.6645704779807076E-5</v>
      </c>
      <c r="R6" s="2"/>
      <c r="T6" s="3"/>
    </row>
    <row r="7" spans="1:20" x14ac:dyDescent="0.25">
      <c r="Q7" s="1"/>
      <c r="R7" s="2"/>
      <c r="S7" t="s">
        <v>3</v>
      </c>
      <c r="T7" s="6">
        <f>S4*T4^T8</f>
        <v>6.6144864949561013E-5</v>
      </c>
    </row>
    <row r="8" spans="1:20" ht="18.75" thickBot="1" x14ac:dyDescent="0.4">
      <c r="A8" s="11" t="s">
        <v>0</v>
      </c>
      <c r="B8" s="11" t="s">
        <v>1</v>
      </c>
      <c r="C8" s="11" t="s">
        <v>25</v>
      </c>
      <c r="D8" s="21" t="s">
        <v>33</v>
      </c>
      <c r="E8" s="21" t="s">
        <v>34</v>
      </c>
      <c r="F8" s="21" t="s">
        <v>35</v>
      </c>
      <c r="G8" s="21" t="s">
        <v>38</v>
      </c>
      <c r="H8" s="11" t="s">
        <v>36</v>
      </c>
      <c r="I8" s="11" t="s">
        <v>37</v>
      </c>
      <c r="J8" s="11" t="s">
        <v>39</v>
      </c>
      <c r="K8" s="11" t="s">
        <v>40</v>
      </c>
      <c r="L8" s="11" t="s">
        <v>43</v>
      </c>
      <c r="M8" s="11" t="s">
        <v>44</v>
      </c>
      <c r="N8" s="11" t="s">
        <v>26</v>
      </c>
      <c r="O8" s="11" t="s">
        <v>8</v>
      </c>
      <c r="P8" s="11" t="s">
        <v>17</v>
      </c>
      <c r="Q8" s="1"/>
      <c r="R8" s="7"/>
      <c r="S8" s="8" t="s">
        <v>4</v>
      </c>
      <c r="T8" s="9">
        <f>ABS(LOG(S5/S4)) / ABS(LOG(T5/T4))</f>
        <v>1.7667771667260399</v>
      </c>
    </row>
    <row r="9" spans="1:20" ht="15.75" thickBot="1" x14ac:dyDescent="0.3">
      <c r="A9" s="4">
        <v>0.99975599999999998</v>
      </c>
      <c r="B9" s="17">
        <f>-1 * LN(1-A9) / 50</f>
        <v>0.16636684665341964</v>
      </c>
      <c r="C9" s="23">
        <v>5.0000000000000001E-4</v>
      </c>
      <c r="D9" s="22" cm="1">
        <f t="array" ref="D9">IF(B9&gt;MAX(raw_hazard_data!$C$3:$C$27),raw_hazard_data!$B$3, IF(hazard_calcs!B9&lt;MIN(raw_hazard_data!$C$3:$C$27),raw_hazard_data!$B$27, LinearInterpolate(hazard_calcs!B9,raw_hazard_data!$C$3:$C$27,raw_hazard_data!$B$3:$B$27)))</f>
        <v>5.0000000000000001E-4</v>
      </c>
      <c r="E9" s="22" cm="1">
        <f t="array" ref="E9">IF(B9&gt;MAX(raw_hazard_data!$F$3:$F$27),raw_hazard_data!$E$3, IF(hazard_calcs!B9&lt;MIN(raw_hazard_data!$F$3:$F$27),raw_hazard_data!$E$27, LinearInterpolate(hazard_calcs!B9,raw_hazard_data!$F$3:$F$27,raw_hazard_data!$E$3:$E$27)))</f>
        <v>6.3375246423011237E-4</v>
      </c>
      <c r="F9" s="22" cm="1">
        <f t="array" ref="F9">IF(B9&gt;MAX(raw_hazard_data!$I$3:$I$27),raw_hazard_data!$H$3, IF(hazard_calcs!B9&lt;MIN(raw_hazard_data!$I$3:$I$27),raw_hazard_data!$H$27, LinearInterpolate(hazard_calcs!B9,raw_hazard_data!$I$3:$I$27,raw_hazard_data!$H$3:$H$27)))</f>
        <v>7.7088572141703745E-4</v>
      </c>
      <c r="G9" s="22" cm="1">
        <f t="array" ref="G9">IF(B9&gt;MAX(raw_hazard_data!$L$3:$L$27),raw_hazard_data!$K$3, IF(hazard_calcs!B9&lt;MIN(raw_hazard_data!$L$3:$L$27),raw_hazard_data!$K$27, LinearInterpolate(hazard_calcs!B9,raw_hazard_data!$L$3:$L$27,raw_hazard_data!$K$3:$K$27)))</f>
        <v>5.0000000000000001E-4</v>
      </c>
      <c r="H9" s="22">
        <f t="shared" ref="H9:H33" si="0">AVERAGE(D9:F9)</f>
        <v>6.3487939521571658E-4</v>
      </c>
      <c r="I9" s="22">
        <f>1.6*(1-0.2*H9)</f>
        <v>1.5997968385935311</v>
      </c>
      <c r="J9" s="22">
        <f>2.3*(1-0.3*G9)</f>
        <v>2.299655</v>
      </c>
      <c r="K9" s="24">
        <f>(J9*G9)/(I9*H9)</f>
        <v>1.132078714048226</v>
      </c>
      <c r="L9" s="22">
        <f>IF($B$6&lt;K9,I9,I9+($B$6-K9)*(J9-I9)/(1-K9))</f>
        <v>1.5997968385935311</v>
      </c>
      <c r="M9" s="22">
        <f>IF($B$6&lt;0.2,I9,I9+($B$6-0.2)*(J9-I9)/(1-0.2))</f>
        <v>1.8622436491209569</v>
      </c>
      <c r="N9" s="22">
        <f>C9*M9</f>
        <v>9.3112182456047841E-4</v>
      </c>
      <c r="O9" s="22">
        <f t="shared" ref="O9:O33" si="1">$T$7*C9^(-$T$8)</f>
        <v>44.944914344809568</v>
      </c>
      <c r="P9" s="22">
        <f t="shared" ref="P9:P33" si="2">$T$29*C9^(-$T$30-$T$31*LN(C9))</f>
        <v>1.7086689786943526E-2</v>
      </c>
      <c r="Q9" s="1"/>
    </row>
    <row r="10" spans="1:20" x14ac:dyDescent="0.25">
      <c r="A10" s="4">
        <v>0.99934400000000001</v>
      </c>
      <c r="B10" s="17">
        <f t="shared" ref="B10:B33" si="3">-1 * LN(1-A10) / 50</f>
        <v>0.14658699538040401</v>
      </c>
      <c r="C10" s="23">
        <v>7.2710799999999899E-4</v>
      </c>
      <c r="D10" s="22" cm="1">
        <f t="array" ref="D10">IF(B10&gt;MAX(raw_hazard_data!$C$3:$C$27),raw_hazard_data!$B$3, IF(hazard_calcs!B10&lt;MIN(raw_hazard_data!$C$3:$C$27),raw_hazard_data!$B$27, LinearInterpolate(hazard_calcs!B10,raw_hazard_data!$C$3:$C$27,raw_hazard_data!$B$3:$B$27)))</f>
        <v>7.0430975583351868E-4</v>
      </c>
      <c r="E10" s="22" cm="1">
        <f t="array" ref="E10">IF(B10&gt;MAX(raw_hazard_data!$F$3:$F$27),raw_hazard_data!$E$3, IF(hazard_calcs!B10&lt;MIN(raw_hazard_data!$F$3:$F$27),raw_hazard_data!$E$27, LinearInterpolate(hazard_calcs!B10,raw_hazard_data!$F$3:$F$27,raw_hazard_data!$E$3:$E$27)))</f>
        <v>9.6827022110385953E-4</v>
      </c>
      <c r="F10" s="22" cm="1">
        <f t="array" ref="F10">IF(B10&gt;MAX(raw_hazard_data!$I$3:$I$27),raw_hazard_data!$H$3, IF(hazard_calcs!B10&lt;MIN(raw_hazard_data!$I$3:$I$27),raw_hazard_data!$H$27, LinearInterpolate(hazard_calcs!B10,raw_hazard_data!$I$3:$I$27,raw_hazard_data!$H$3:$H$27)))</f>
        <v>1.1670903170462599E-3</v>
      </c>
      <c r="G10" s="22" cm="1">
        <f t="array" ref="G10">IF(B10&gt;MAX(raw_hazard_data!$L$3:$L$27),raw_hazard_data!$K$3, IF(hazard_calcs!B10&lt;MIN(raw_hazard_data!$L$3:$L$27),raw_hazard_data!$K$27, LinearInterpolate(hazard_calcs!B10,raw_hazard_data!$L$3:$L$27,raw_hazard_data!$K$3:$K$27)))</f>
        <v>5.0000000000000001E-4</v>
      </c>
      <c r="H10" s="22">
        <f t="shared" si="0"/>
        <v>9.4655676466121269E-4</v>
      </c>
      <c r="I10" s="22">
        <f t="shared" ref="I10:I33" si="4">1.6*(1-0.2*H10)</f>
        <v>1.5996971018353086</v>
      </c>
      <c r="J10" s="22">
        <f t="shared" ref="J10:J33" si="5">2.3*(1-0.3*G10)</f>
        <v>2.299655</v>
      </c>
      <c r="K10" s="24">
        <f t="shared" ref="K10:K33" si="6">(J10*G10)/(I10*H10)</f>
        <v>0.7593609672655961</v>
      </c>
      <c r="L10" s="22">
        <f t="shared" ref="L10:L33" si="7">IF($B$6&lt;K10,I10,I10+($B$6-K10)*(J10-I10)/(1-K10))</f>
        <v>1.5996971018353086</v>
      </c>
      <c r="M10" s="22">
        <f t="shared" ref="M10:M33" si="8">IF($B$6&lt;0.2,I10,I10+($B$6-0.2)*(J10-I10)/(1-0.2))</f>
        <v>1.862181313647068</v>
      </c>
      <c r="N10" s="22">
        <f t="shared" ref="N10:N33" si="9">C10*M10</f>
        <v>1.3540069306032904E-3</v>
      </c>
      <c r="O10" s="22">
        <f t="shared" si="1"/>
        <v>23.192709964052042</v>
      </c>
      <c r="P10" s="22">
        <f t="shared" si="2"/>
        <v>2.2070409772819748E-2</v>
      </c>
      <c r="Q10" s="1"/>
      <c r="R10" s="13" t="s">
        <v>7</v>
      </c>
      <c r="S10" s="19"/>
      <c r="T10" s="20"/>
    </row>
    <row r="11" spans="1:20" x14ac:dyDescent="0.25">
      <c r="A11" s="4">
        <v>0.99819500000000005</v>
      </c>
      <c r="B11" s="17">
        <f t="shared" si="3"/>
        <v>0.12634389374394644</v>
      </c>
      <c r="C11" s="23">
        <v>1.0573710000000001E-3</v>
      </c>
      <c r="D11" s="22" cm="1">
        <f t="array" ref="D11">IF(B11&gt;MAX(raw_hazard_data!$C$3:$C$27),raw_hazard_data!$B$3, IF(hazard_calcs!B11&lt;MIN(raw_hazard_data!$C$3:$C$27),raw_hazard_data!$B$27, LinearInterpolate(hazard_calcs!B11,raw_hazard_data!$C$3:$C$27,raw_hazard_data!$B$3:$B$27)))</f>
        <v>1.0851079887512728E-3</v>
      </c>
      <c r="E11" s="22" cm="1">
        <f t="array" ref="E11">IF(B11&gt;MAX(raw_hazard_data!$F$3:$F$27),raw_hazard_data!$E$3, IF(hazard_calcs!B11&lt;MIN(raw_hazard_data!$F$3:$F$27),raw_hazard_data!$E$27, LinearInterpolate(hazard_calcs!B11,raw_hazard_data!$F$3:$F$27,raw_hazard_data!$E$3:$E$27)))</f>
        <v>1.4102757786895433E-3</v>
      </c>
      <c r="F11" s="22" cm="1">
        <f t="array" ref="F11">IF(B11&gt;MAX(raw_hazard_data!$I$3:$I$27),raw_hazard_data!$H$3, IF(hazard_calcs!B11&lt;MIN(raw_hazard_data!$I$3:$I$27),raw_hazard_data!$H$27, LinearInterpolate(hazard_calcs!B11,raw_hazard_data!$I$3:$I$27,raw_hazard_data!$H$3:$H$27)))</f>
        <v>1.7667407305897926E-3</v>
      </c>
      <c r="G11" s="22" cm="1">
        <f t="array" ref="G11">IF(B11&gt;MAX(raw_hazard_data!$L$3:$L$27),raw_hazard_data!$K$3, IF(hazard_calcs!B11&lt;MIN(raw_hazard_data!$L$3:$L$27),raw_hazard_data!$K$27, LinearInterpolate(hazard_calcs!B11,raw_hazard_data!$L$3:$L$27,raw_hazard_data!$K$3:$K$27)))</f>
        <v>5.0000000000000001E-4</v>
      </c>
      <c r="H11" s="22">
        <f t="shared" si="0"/>
        <v>1.4207081660102029E-3</v>
      </c>
      <c r="I11" s="22">
        <f t="shared" si="4"/>
        <v>1.599545373386877</v>
      </c>
      <c r="J11" s="22">
        <f t="shared" si="5"/>
        <v>2.299655</v>
      </c>
      <c r="K11" s="24">
        <f t="shared" si="6"/>
        <v>0.50597755323721005</v>
      </c>
      <c r="L11" s="22">
        <f t="shared" si="7"/>
        <v>1.599545373386877</v>
      </c>
      <c r="M11" s="22">
        <f t="shared" si="8"/>
        <v>1.8620864833667981</v>
      </c>
      <c r="N11" s="22">
        <f t="shared" si="9"/>
        <v>1.9689162470040347E-3</v>
      </c>
      <c r="O11" s="22">
        <f t="shared" si="1"/>
        <v>11.968045341636087</v>
      </c>
      <c r="P11" s="22">
        <f t="shared" si="2"/>
        <v>2.6951314221598795E-2</v>
      </c>
      <c r="Q11" s="1"/>
      <c r="R11" s="2" t="s">
        <v>24</v>
      </c>
      <c r="S11" t="s">
        <v>23</v>
      </c>
      <c r="T11" s="3" t="s">
        <v>6</v>
      </c>
    </row>
    <row r="12" spans="1:20" x14ac:dyDescent="0.25">
      <c r="A12" s="4">
        <v>0.99518300000000004</v>
      </c>
      <c r="B12" s="17">
        <f t="shared" si="3"/>
        <v>0.10671207902668123</v>
      </c>
      <c r="C12" s="23">
        <v>1.53764599999999E-3</v>
      </c>
      <c r="D12" s="22" cm="1">
        <f t="array" ref="D12">IF(B12&gt;MAX(raw_hazard_data!$C$3:$C$27),raw_hazard_data!$B$3, IF(hazard_calcs!B12&lt;MIN(raw_hazard_data!$C$3:$C$27),raw_hazard_data!$B$27, LinearInterpolate(hazard_calcs!B12,raw_hazard_data!$C$3:$C$27,raw_hazard_data!$B$3:$B$27)))</f>
        <v>1.7101685694036963E-3</v>
      </c>
      <c r="E12" s="22" cm="1">
        <f t="array" ref="E12">IF(B12&gt;MAX(raw_hazard_data!$F$3:$F$27),raw_hazard_data!$E$3, IF(hazard_calcs!B12&lt;MIN(raw_hazard_data!$F$3:$F$27),raw_hazard_data!$E$27, LinearInterpolate(hazard_calcs!B12,raw_hazard_data!$F$3:$F$27,raw_hazard_data!$E$3:$E$27)))</f>
        <v>2.2445293263589823E-3</v>
      </c>
      <c r="F12" s="22" cm="1">
        <f t="array" ref="F12">IF(B12&gt;MAX(raw_hazard_data!$I$3:$I$27),raw_hazard_data!$H$3, IF(hazard_calcs!B12&lt;MIN(raw_hazard_data!$I$3:$I$27),raw_hazard_data!$H$27, LinearInterpolate(hazard_calcs!B12,raw_hazard_data!$I$3:$I$27,raw_hazard_data!$H$3:$H$27)))</f>
        <v>2.6707395183475017E-3</v>
      </c>
      <c r="G12" s="22" cm="1">
        <f t="array" ref="G12">IF(B12&gt;MAX(raw_hazard_data!$L$3:$L$27),raw_hazard_data!$K$3, IF(hazard_calcs!B12&lt;MIN(raw_hazard_data!$L$3:$L$27),raw_hazard_data!$K$27, LinearInterpolate(hazard_calcs!B12,raw_hazard_data!$L$3:$L$27,raw_hazard_data!$K$3:$K$27)))</f>
        <v>6.4379175884156121E-4</v>
      </c>
      <c r="H12" s="22">
        <f t="shared" si="0"/>
        <v>2.2084791380367268E-3</v>
      </c>
      <c r="I12" s="22">
        <f t="shared" si="4"/>
        <v>1.5992932866758283</v>
      </c>
      <c r="J12" s="22">
        <f t="shared" si="5"/>
        <v>2.2995557836863991</v>
      </c>
      <c r="K12" s="24">
        <f t="shared" si="6"/>
        <v>0.41914852962850818</v>
      </c>
      <c r="L12" s="22">
        <f t="shared" si="7"/>
        <v>1.6967661440538198</v>
      </c>
      <c r="M12" s="22">
        <f t="shared" si="8"/>
        <v>1.8618917230547924</v>
      </c>
      <c r="N12" s="22">
        <f t="shared" si="9"/>
        <v>2.8629303603882909E-3</v>
      </c>
      <c r="O12" s="22">
        <f t="shared" si="1"/>
        <v>6.1758121700858331</v>
      </c>
      <c r="P12" s="22">
        <f t="shared" si="2"/>
        <v>3.1114804674702901E-2</v>
      </c>
      <c r="Q12" s="1"/>
      <c r="R12" s="2">
        <v>1</v>
      </c>
      <c r="S12" s="16">
        <f>1/100</f>
        <v>0.01</v>
      </c>
      <c r="T12" s="5" cm="1">
        <f t="array" ref="T12">LinearInterpolate(S12, $B$9:$B$33,$C$9:$C$33)</f>
        <v>4.061085305942088E-2</v>
      </c>
    </row>
    <row r="13" spans="1:20" x14ac:dyDescent="0.25">
      <c r="A13" s="4">
        <v>0.98798200000000003</v>
      </c>
      <c r="B13" s="17">
        <f t="shared" si="3"/>
        <v>8.8426995061408054E-2</v>
      </c>
      <c r="C13" s="23">
        <v>2.2360679999999899E-3</v>
      </c>
      <c r="D13" s="22" cm="1">
        <f t="array" ref="D13">IF(B13&gt;MAX(raw_hazard_data!$C$3:$C$27),raw_hazard_data!$B$3, IF(hazard_calcs!B13&lt;MIN(raw_hazard_data!$C$3:$C$27),raw_hazard_data!$B$27, LinearInterpolate(hazard_calcs!B13,raw_hazard_data!$C$3:$C$27,raw_hazard_data!$B$3:$B$27)))</f>
        <v>2.6897176279564949E-3</v>
      </c>
      <c r="E13" s="22" cm="1">
        <f t="array" ref="E13">IF(B13&gt;MAX(raw_hazard_data!$F$3:$F$27),raw_hazard_data!$E$3, IF(hazard_calcs!B13&lt;MIN(raw_hazard_data!$F$3:$F$27),raw_hazard_data!$E$27, LinearInterpolate(hazard_calcs!B13,raw_hazard_data!$F$3:$F$27,raw_hazard_data!$E$3:$E$27)))</f>
        <v>3.4674374001062106E-3</v>
      </c>
      <c r="F13" s="22" cm="1">
        <f t="array" ref="F13">IF(B13&gt;MAX(raw_hazard_data!$I$3:$I$27),raw_hazard_data!$H$3, IF(hazard_calcs!B13&lt;MIN(raw_hazard_data!$I$3:$I$27),raw_hazard_data!$H$27, LinearInterpolate(hazard_calcs!B13,raw_hazard_data!$I$3:$I$27,raw_hazard_data!$H$3:$H$27)))</f>
        <v>4.0278580699525121E-3</v>
      </c>
      <c r="G13" s="22" cm="1">
        <f t="array" ref="G13">IF(B13&gt;MAX(raw_hazard_data!$L$3:$L$27),raw_hazard_data!$K$3, IF(hazard_calcs!B13&lt;MIN(raw_hazard_data!$L$3:$L$27),raw_hazard_data!$K$27, LinearInterpolate(hazard_calcs!B13,raw_hazard_data!$L$3:$L$27,raw_hazard_data!$K$3:$K$27)))</f>
        <v>9.3032902432895988E-4</v>
      </c>
      <c r="H13" s="22">
        <f t="shared" si="0"/>
        <v>3.3950043660050722E-3</v>
      </c>
      <c r="I13" s="22">
        <f t="shared" si="4"/>
        <v>1.5989135986028784</v>
      </c>
      <c r="J13" s="22">
        <f t="shared" si="5"/>
        <v>2.299358072973213</v>
      </c>
      <c r="K13" s="24">
        <f t="shared" si="6"/>
        <v>0.39407405704753423</v>
      </c>
      <c r="L13" s="22">
        <f t="shared" si="7"/>
        <v>1.7213629544960993</v>
      </c>
      <c r="M13" s="22">
        <f t="shared" si="8"/>
        <v>1.8615802764917539</v>
      </c>
      <c r="N13" s="22">
        <f t="shared" si="9"/>
        <v>4.1626200856943445E-3</v>
      </c>
      <c r="O13" s="22">
        <f t="shared" si="1"/>
        <v>3.1868784876240697</v>
      </c>
      <c r="P13" s="22">
        <f t="shared" si="2"/>
        <v>3.3960293755769776E-2</v>
      </c>
      <c r="Q13" s="1"/>
      <c r="R13" s="2">
        <v>2</v>
      </c>
      <c r="S13" s="4">
        <f>1/475</f>
        <v>2.1052631578947368E-3</v>
      </c>
      <c r="T13" s="5" cm="1">
        <f t="array" ref="T13">LinearInterpolate(S13, $B$9:$B$33,$C$9:$C$33)</f>
        <v>0.14106065216908439</v>
      </c>
    </row>
    <row r="14" spans="1:20" x14ac:dyDescent="0.25">
      <c r="A14" s="4">
        <v>0.97256900000000002</v>
      </c>
      <c r="B14" s="17">
        <f t="shared" si="3"/>
        <v>7.192163036525169E-2</v>
      </c>
      <c r="C14" s="23">
        <v>3.251725E-3</v>
      </c>
      <c r="D14" s="22" cm="1">
        <f t="array" ref="D14">IF(B14&gt;MAX(raw_hazard_data!$C$3:$C$27),raw_hazard_data!$B$3, IF(hazard_calcs!B14&lt;MIN(raw_hazard_data!$C$3:$C$27),raw_hazard_data!$B$27, LinearInterpolate(hazard_calcs!B14,raw_hazard_data!$C$3:$C$27,raw_hazard_data!$B$3:$B$27)))</f>
        <v>4.2154558482998591E-3</v>
      </c>
      <c r="E14" s="22" cm="1">
        <f t="array" ref="E14">IF(B14&gt;MAX(raw_hazard_data!$F$3:$F$27),raw_hazard_data!$E$3, IF(hazard_calcs!B14&lt;MIN(raw_hazard_data!$F$3:$F$27),raw_hazard_data!$E$27, LinearInterpolate(hazard_calcs!B14,raw_hazard_data!$F$3:$F$27,raw_hazard_data!$E$3:$E$27)))</f>
        <v>5.3796808626947676E-3</v>
      </c>
      <c r="F14" s="22" cm="1">
        <f t="array" ref="F14">IF(B14&gt;MAX(raw_hazard_data!$I$3:$I$27),raw_hazard_data!$H$3, IF(hazard_calcs!B14&lt;MIN(raw_hazard_data!$I$3:$I$27),raw_hazard_data!$H$27, LinearInterpolate(hazard_calcs!B14,raw_hazard_data!$I$3:$I$27,raw_hazard_data!$H$3:$H$27)))</f>
        <v>6.060240320271814E-3</v>
      </c>
      <c r="G14" s="22" cm="1">
        <f t="array" ref="G14">IF(B14&gt;MAX(raw_hazard_data!$L$3:$L$27),raw_hazard_data!$K$3, IF(hazard_calcs!B14&lt;MIN(raw_hazard_data!$L$3:$L$27),raw_hazard_data!$K$27, LinearInterpolate(hazard_calcs!B14,raw_hazard_data!$L$3:$L$27,raw_hazard_data!$K$3:$K$27)))</f>
        <v>1.3489980882469808E-3</v>
      </c>
      <c r="H14" s="22">
        <f t="shared" si="0"/>
        <v>5.2184590104221466E-3</v>
      </c>
      <c r="I14" s="22">
        <f t="shared" si="4"/>
        <v>1.5983300931166651</v>
      </c>
      <c r="J14" s="22">
        <f t="shared" si="5"/>
        <v>2.2990691913191093</v>
      </c>
      <c r="K14" s="24">
        <f t="shared" si="6"/>
        <v>0.37183872995189476</v>
      </c>
      <c r="L14" s="22">
        <f t="shared" si="7"/>
        <v>1.7412991316107314</v>
      </c>
      <c r="M14" s="22">
        <f t="shared" si="8"/>
        <v>1.8611072549425816</v>
      </c>
      <c r="N14" s="22">
        <f t="shared" si="9"/>
        <v>6.051808988578166E-3</v>
      </c>
      <c r="O14" s="22">
        <f t="shared" si="1"/>
        <v>1.6445104897064631</v>
      </c>
      <c r="P14" s="22">
        <f t="shared" si="2"/>
        <v>3.5042346133453355E-2</v>
      </c>
      <c r="Q14" s="1"/>
      <c r="R14" s="2">
        <v>3</v>
      </c>
      <c r="S14" s="4">
        <f>1/4975</f>
        <v>2.0100502512562814E-4</v>
      </c>
      <c r="T14" s="5" cm="1">
        <f t="array" ref="T14">LinearInterpolate(S14, $B$9:$B$33,$C$9:$C$33)</f>
        <v>0.53307040422459473</v>
      </c>
    </row>
    <row r="15" spans="1:20" x14ac:dyDescent="0.25">
      <c r="A15" s="4">
        <v>0.94330499999999995</v>
      </c>
      <c r="B15" s="17">
        <f t="shared" si="3"/>
        <v>5.7401385111166665E-2</v>
      </c>
      <c r="C15" s="23">
        <v>4.7287079999999903E-3</v>
      </c>
      <c r="D15" s="22" cm="1">
        <f t="array" ref="D15">IF(B15&gt;MAX(raw_hazard_data!$C$3:$C$27),raw_hazard_data!$B$3, IF(hazard_calcs!B15&lt;MIN(raw_hazard_data!$C$3:$C$27),raw_hazard_data!$B$27, LinearInterpolate(hazard_calcs!B15,raw_hazard_data!$C$3:$C$27,raw_hazard_data!$B$3:$B$27)))</f>
        <v>6.5828026542648676E-3</v>
      </c>
      <c r="E15" s="22" cm="1">
        <f t="array" ref="E15">IF(B15&gt;MAX(raw_hazard_data!$F$3:$F$27),raw_hazard_data!$E$3, IF(hazard_calcs!B15&lt;MIN(raw_hazard_data!$F$3:$F$27),raw_hazard_data!$E$27, LinearInterpolate(hazard_calcs!B15,raw_hazard_data!$F$3:$F$27,raw_hazard_data!$E$3:$E$27)))</f>
        <v>8.320376682798036E-3</v>
      </c>
      <c r="F15" s="22" cm="1">
        <f t="array" ref="F15">IF(B15&gt;MAX(raw_hazard_data!$I$3:$I$27),raw_hazard_data!$H$3, IF(hazard_calcs!B15&lt;MIN(raw_hazard_data!$I$3:$I$27),raw_hazard_data!$H$27, LinearInterpolate(hazard_calcs!B15,raw_hazard_data!$I$3:$I$27,raw_hazard_data!$H$3:$H$27)))</f>
        <v>9.1035416970755741E-3</v>
      </c>
      <c r="G15" s="22" cm="1">
        <f t="array" ref="G15">IF(B15&gt;MAX(raw_hazard_data!$L$3:$L$27),raw_hazard_data!$K$3, IF(hazard_calcs!B15&lt;MIN(raw_hazard_data!$L$3:$L$27),raw_hazard_data!$K$27, LinearInterpolate(hazard_calcs!B15,raw_hazard_data!$L$3:$L$27,raw_hazard_data!$K$3:$K$27)))</f>
        <v>1.961664060981993E-3</v>
      </c>
      <c r="H15" s="22">
        <f t="shared" si="0"/>
        <v>8.0022403447128267E-3</v>
      </c>
      <c r="I15" s="22">
        <f t="shared" si="4"/>
        <v>1.597439283089692</v>
      </c>
      <c r="J15" s="22">
        <f t="shared" si="5"/>
        <v>2.2986464517979224</v>
      </c>
      <c r="K15" s="24">
        <f t="shared" si="6"/>
        <v>0.35274499727089353</v>
      </c>
      <c r="L15" s="22">
        <f t="shared" si="7"/>
        <v>1.7569687778119059</v>
      </c>
      <c r="M15" s="22">
        <f t="shared" si="8"/>
        <v>1.8603919713552783</v>
      </c>
      <c r="N15" s="22">
        <f t="shared" si="9"/>
        <v>8.7972503980834581E-3</v>
      </c>
      <c r="O15" s="22">
        <f t="shared" si="1"/>
        <v>0.84860971090280923</v>
      </c>
      <c r="P15" s="22">
        <f t="shared" si="2"/>
        <v>3.4184738080506191E-2</v>
      </c>
      <c r="Q15" s="1"/>
      <c r="R15" s="2"/>
      <c r="T15" s="3"/>
    </row>
    <row r="16" spans="1:20" x14ac:dyDescent="0.25">
      <c r="A16" s="4">
        <v>0.89406799999999997</v>
      </c>
      <c r="B16" s="17">
        <f t="shared" si="3"/>
        <v>4.4899158003185044E-2</v>
      </c>
      <c r="C16" s="23">
        <v>6.8765600000000003E-3</v>
      </c>
      <c r="D16" s="22" cm="1">
        <f t="array" ref="D16">IF(B16&gt;MAX(raw_hazard_data!$C$3:$C$27),raw_hazard_data!$B$3, IF(hazard_calcs!B16&lt;MIN(raw_hazard_data!$C$3:$C$27),raw_hazard_data!$B$27, LinearInterpolate(hazard_calcs!B16,raw_hazard_data!$C$3:$C$27,raw_hazard_data!$B$3:$B$27)))</f>
        <v>1.0254212753537445E-2</v>
      </c>
      <c r="E16" s="22" cm="1">
        <f t="array" ref="E16">IF(B16&gt;MAX(raw_hazard_data!$F$3:$F$27),raw_hazard_data!$E$3, IF(hazard_calcs!B16&lt;MIN(raw_hazard_data!$F$3:$F$27),raw_hazard_data!$E$27, LinearInterpolate(hazard_calcs!B16,raw_hazard_data!$F$3:$F$27,raw_hazard_data!$E$3:$E$27)))</f>
        <v>1.2846108989849891E-2</v>
      </c>
      <c r="F16" s="22" cm="1">
        <f t="array" ref="F16">IF(B16&gt;MAX(raw_hazard_data!$I$3:$I$27),raw_hazard_data!$H$3, IF(hazard_calcs!B16&lt;MIN(raw_hazard_data!$I$3:$I$27),raw_hazard_data!$H$27, LinearInterpolate(hazard_calcs!B16,raw_hazard_data!$I$3:$I$27,raw_hazard_data!$H$3:$H$27)))</f>
        <v>1.3673408964231231E-2</v>
      </c>
      <c r="G16" s="22" cm="1">
        <f t="array" ref="G16">IF(B16&gt;MAX(raw_hazard_data!$L$3:$L$27),raw_hazard_data!$K$3, IF(hazard_calcs!B16&lt;MIN(raw_hazard_data!$L$3:$L$27),raw_hazard_data!$K$27, LinearInterpolate(hazard_calcs!B16,raw_hazard_data!$L$3:$L$27,raw_hazard_data!$K$3:$K$27)))</f>
        <v>2.8558652480264158E-3</v>
      </c>
      <c r="H16" s="22">
        <f t="shared" si="0"/>
        <v>1.2257910235872855E-2</v>
      </c>
      <c r="I16" s="22">
        <f t="shared" si="4"/>
        <v>1.5960774687245207</v>
      </c>
      <c r="J16" s="22">
        <f t="shared" si="5"/>
        <v>2.2980294529788616</v>
      </c>
      <c r="K16" s="24">
        <f t="shared" si="6"/>
        <v>0.33544621719208484</v>
      </c>
      <c r="L16" s="22">
        <f t="shared" si="7"/>
        <v>1.7698916239468694</v>
      </c>
      <c r="M16" s="22">
        <f t="shared" si="8"/>
        <v>1.8593094628198985</v>
      </c>
      <c r="N16" s="22">
        <f t="shared" si="9"/>
        <v>1.2785653079648802E-2</v>
      </c>
      <c r="O16" s="22">
        <f t="shared" si="1"/>
        <v>0.43790434379330073</v>
      </c>
      <c r="P16" s="22">
        <f t="shared" si="2"/>
        <v>3.1527438435500585E-2</v>
      </c>
      <c r="Q16" s="1"/>
      <c r="R16" s="2" t="s">
        <v>24</v>
      </c>
      <c r="S16" t="s">
        <v>22</v>
      </c>
      <c r="T16" s="3" t="s">
        <v>21</v>
      </c>
    </row>
    <row r="17" spans="1:21" x14ac:dyDescent="0.25">
      <c r="A17" s="4">
        <v>0.82040400000000002</v>
      </c>
      <c r="B17" s="17">
        <f t="shared" si="3"/>
        <v>3.4340907901539569E-2</v>
      </c>
      <c r="C17" s="23">
        <v>0.01</v>
      </c>
      <c r="D17" s="22" cm="1">
        <f t="array" ref="D17">IF(B17&gt;MAX(raw_hazard_data!$C$3:$C$27),raw_hazard_data!$B$3, IF(hazard_calcs!B17&lt;MIN(raw_hazard_data!$C$3:$C$27),raw_hazard_data!$B$27, LinearInterpolate(hazard_calcs!B17,raw_hazard_data!$C$3:$C$27,raw_hazard_data!$B$3:$B$27)))</f>
        <v>1.6073309297985734E-2</v>
      </c>
      <c r="E17" s="22" cm="1">
        <f t="array" ref="E17">IF(B17&gt;MAX(raw_hazard_data!$F$3:$F$27),raw_hazard_data!$E$3, IF(hazard_calcs!B17&lt;MIN(raw_hazard_data!$F$3:$F$27),raw_hazard_data!$E$27, LinearInterpolate(hazard_calcs!B17,raw_hazard_data!$F$3:$F$27,raw_hazard_data!$E$3:$E$27)))</f>
        <v>1.9840440204310934E-2</v>
      </c>
      <c r="F17" s="22" cm="1">
        <f t="array" ref="F17">IF(B17&gt;MAX(raw_hazard_data!$I$3:$I$27),raw_hazard_data!$H$3, IF(hazard_calcs!B17&lt;MIN(raw_hazard_data!$I$3:$I$27),raw_hazard_data!$H$27, LinearInterpolate(hazard_calcs!B17,raw_hazard_data!$I$3:$I$27,raw_hazard_data!$H$3:$H$27)))</f>
        <v>2.0575969103177119E-2</v>
      </c>
      <c r="G17" s="22" cm="1">
        <f t="array" ref="G17">IF(B17&gt;MAX(raw_hazard_data!$L$3:$L$27),raw_hazard_data!$K$3, IF(hazard_calcs!B17&lt;MIN(raw_hazard_data!$L$3:$L$27),raw_hazard_data!$K$27, LinearInterpolate(hazard_calcs!B17,raw_hazard_data!$L$3:$L$27,raw_hazard_data!$K$3:$K$27)))</f>
        <v>4.1515965479838402E-3</v>
      </c>
      <c r="H17" s="22">
        <f t="shared" si="0"/>
        <v>1.8829906201824596E-2</v>
      </c>
      <c r="I17" s="22">
        <f t="shared" si="4"/>
        <v>1.5939744300154164</v>
      </c>
      <c r="J17" s="22">
        <f t="shared" si="5"/>
        <v>2.297135398381891</v>
      </c>
      <c r="K17" s="24">
        <f t="shared" si="6"/>
        <v>0.31774024746899354</v>
      </c>
      <c r="L17" s="22">
        <f t="shared" si="7"/>
        <v>1.7818177603723719</v>
      </c>
      <c r="M17" s="22">
        <f t="shared" si="8"/>
        <v>1.8576597931528442</v>
      </c>
      <c r="N17" s="22">
        <f t="shared" si="9"/>
        <v>1.8576597931528441E-2</v>
      </c>
      <c r="O17" s="22">
        <f t="shared" si="1"/>
        <v>0.22596983449736632</v>
      </c>
      <c r="P17" s="22">
        <f t="shared" si="2"/>
        <v>2.7489222273366167E-2</v>
      </c>
      <c r="Q17" s="1"/>
      <c r="R17" s="2">
        <v>1</v>
      </c>
      <c r="S17" s="17">
        <f t="shared" ref="S17:T19" si="10">LN(S12)</f>
        <v>-4.6051701859880909</v>
      </c>
      <c r="T17" s="5">
        <f t="shared" si="10"/>
        <v>-3.2037199313626981</v>
      </c>
    </row>
    <row r="18" spans="1:21" x14ac:dyDescent="0.25">
      <c r="A18" s="4">
        <v>0.72189599999999998</v>
      </c>
      <c r="B18" s="17">
        <f t="shared" si="3"/>
        <v>2.5595202690606049E-2</v>
      </c>
      <c r="C18" s="23">
        <v>1.4542153999999899E-2</v>
      </c>
      <c r="D18" s="22" cm="1">
        <f t="array" ref="D18">IF(B18&gt;MAX(raw_hazard_data!$C$3:$C$27),raw_hazard_data!$B$3, IF(hazard_calcs!B18&lt;MIN(raw_hazard_data!$C$3:$C$27),raw_hazard_data!$B$27, LinearInterpolate(hazard_calcs!B18,raw_hazard_data!$C$3:$C$27,raw_hazard_data!$B$3:$B$27)))</f>
        <v>2.6161009928460984E-2</v>
      </c>
      <c r="E18" s="22" cm="1">
        <f t="array" ref="E18">IF(B18&gt;MAX(raw_hazard_data!$F$3:$F$27),raw_hazard_data!$E$3, IF(hazard_calcs!B18&lt;MIN(raw_hazard_data!$F$3:$F$27),raw_hazard_data!$E$27, LinearInterpolate(hazard_calcs!B18,raw_hazard_data!$F$3:$F$27,raw_hazard_data!$E$3:$E$27)))</f>
        <v>3.0720026221131305E-2</v>
      </c>
      <c r="F18" s="22" cm="1">
        <f t="array" ref="F18">IF(B18&gt;MAX(raw_hazard_data!$I$3:$I$27),raw_hazard_data!$H$3, IF(hazard_calcs!B18&lt;MIN(raw_hazard_data!$I$3:$I$27),raw_hazard_data!$H$27, LinearInterpolate(hazard_calcs!B18,raw_hazard_data!$I$3:$I$27,raw_hazard_data!$H$3:$H$27)))</f>
        <v>3.1090720765209905E-2</v>
      </c>
      <c r="G18" s="22" cm="1">
        <f t="array" ref="G18">IF(B18&gt;MAX(raw_hazard_data!$L$3:$L$27),raw_hazard_data!$K$3, IF(hazard_calcs!B18&lt;MIN(raw_hazard_data!$L$3:$L$27),raw_hazard_data!$K$27, LinearInterpolate(hazard_calcs!B18,raw_hazard_data!$L$3:$L$27,raw_hazard_data!$K$3:$K$27)))</f>
        <v>6.0119185367699252E-3</v>
      </c>
      <c r="H18" s="22">
        <f t="shared" si="0"/>
        <v>2.9323918971600731E-2</v>
      </c>
      <c r="I18" s="22">
        <f t="shared" si="4"/>
        <v>1.5906163459290878</v>
      </c>
      <c r="J18" s="22">
        <f t="shared" si="5"/>
        <v>2.2958517762096284</v>
      </c>
      <c r="K18" s="24">
        <f t="shared" si="6"/>
        <v>0.29591670403484049</v>
      </c>
      <c r="L18" s="22">
        <f t="shared" si="7"/>
        <v>1.7950335958025776</v>
      </c>
      <c r="M18" s="22">
        <f t="shared" si="8"/>
        <v>1.8550796322842906</v>
      </c>
      <c r="N18" s="22">
        <f t="shared" si="9"/>
        <v>2.6976853694941339E-2</v>
      </c>
      <c r="O18" s="22">
        <f t="shared" si="1"/>
        <v>0.1166062218362072</v>
      </c>
      <c r="P18" s="22">
        <f t="shared" si="2"/>
        <v>2.2659669646948953E-2</v>
      </c>
      <c r="Q18" s="1"/>
      <c r="R18" s="2">
        <v>2</v>
      </c>
      <c r="S18" s="17">
        <f t="shared" si="10"/>
        <v>-6.1633148040346413</v>
      </c>
      <c r="T18" s="5">
        <f t="shared" si="10"/>
        <v>-1.9585653238675171</v>
      </c>
    </row>
    <row r="19" spans="1:21" x14ac:dyDescent="0.25">
      <c r="A19" s="4">
        <v>0.60381499999999999</v>
      </c>
      <c r="B19" s="17">
        <f t="shared" si="3"/>
        <v>1.8517480102024333E-2</v>
      </c>
      <c r="C19" s="23">
        <v>2.1147425000000001E-2</v>
      </c>
      <c r="D19" s="22" cm="1">
        <f t="array" ref="D19">IF(B19&gt;MAX(raw_hazard_data!$C$3:$C$27),raw_hazard_data!$B$3, IF(hazard_calcs!B19&lt;MIN(raw_hazard_data!$C$3:$C$27),raw_hazard_data!$B$27, LinearInterpolate(hazard_calcs!B19,raw_hazard_data!$C$3:$C$27,raw_hazard_data!$B$3:$B$27)))</f>
        <v>4.2592939924630098E-2</v>
      </c>
      <c r="E19" s="22" cm="1">
        <f t="array" ref="E19">IF(B19&gt;MAX(raw_hazard_data!$F$3:$F$27),raw_hazard_data!$E$3, IF(hazard_calcs!B19&lt;MIN(raw_hazard_data!$F$3:$F$27),raw_hazard_data!$E$27, LinearInterpolate(hazard_calcs!B19,raw_hazard_data!$F$3:$F$27,raw_hazard_data!$E$3:$E$27)))</f>
        <v>4.7704478647249943E-2</v>
      </c>
      <c r="F19" s="22" cm="1">
        <f t="array" ref="F19">IF(B19&gt;MAX(raw_hazard_data!$I$3:$I$27),raw_hazard_data!$H$3, IF(hazard_calcs!B19&lt;MIN(raw_hazard_data!$I$3:$I$27),raw_hazard_data!$H$27, LinearInterpolate(hazard_calcs!B19,raw_hazard_data!$I$3:$I$27,raw_hazard_data!$H$3:$H$27)))</f>
        <v>4.7224201618999033E-2</v>
      </c>
      <c r="G19" s="22" cm="1">
        <f t="array" ref="G19">IF(B19&gt;MAX(raw_hazard_data!$L$3:$L$27),raw_hazard_data!$K$3, IF(hazard_calcs!B19&lt;MIN(raw_hazard_data!$L$3:$L$27),raw_hazard_data!$K$27, LinearInterpolate(hazard_calcs!B19,raw_hazard_data!$L$3:$L$27,raw_hazard_data!$K$3:$K$27)))</f>
        <v>8.661926512871343E-3</v>
      </c>
      <c r="H19" s="22">
        <f t="shared" si="0"/>
        <v>4.584054006362636E-2</v>
      </c>
      <c r="I19" s="22">
        <f t="shared" si="4"/>
        <v>1.5853310271796397</v>
      </c>
      <c r="J19" s="22">
        <f t="shared" si="5"/>
        <v>2.2940232707061186</v>
      </c>
      <c r="K19" s="24">
        <f t="shared" si="6"/>
        <v>0.27342777532527929</v>
      </c>
      <c r="L19" s="22">
        <f t="shared" si="7"/>
        <v>1.8063276091744975</v>
      </c>
      <c r="M19" s="22">
        <f t="shared" si="8"/>
        <v>1.8510906185020692</v>
      </c>
      <c r="N19" s="22">
        <f t="shared" si="9"/>
        <v>3.9145800022976122E-2</v>
      </c>
      <c r="O19" s="22">
        <f t="shared" si="1"/>
        <v>6.0171793290029398E-2</v>
      </c>
      <c r="P19" s="22">
        <f t="shared" si="2"/>
        <v>1.7658834322378209E-2</v>
      </c>
      <c r="Q19" s="1"/>
      <c r="R19" s="2">
        <v>3</v>
      </c>
      <c r="S19" s="17">
        <f t="shared" si="10"/>
        <v>-8.5121806495926933</v>
      </c>
      <c r="T19" s="5">
        <f t="shared" si="10"/>
        <v>-0.62910177306180781</v>
      </c>
    </row>
    <row r="20" spans="1:21" x14ac:dyDescent="0.25">
      <c r="A20" s="4">
        <v>0.47697699999999998</v>
      </c>
      <c r="B20" s="17">
        <f t="shared" si="3"/>
        <v>1.2962596776574542E-2</v>
      </c>
      <c r="C20" s="23">
        <v>3.0752912E-2</v>
      </c>
      <c r="D20" s="22" cm="1">
        <f t="array" ref="D20">IF(B20&gt;MAX(raw_hazard_data!$C$3:$C$27),raw_hazard_data!$B$3, IF(hazard_calcs!B20&lt;MIN(raw_hazard_data!$C$3:$C$27),raw_hazard_data!$B$27, LinearInterpolate(hazard_calcs!B20,raw_hazard_data!$C$3:$C$27,raw_hazard_data!$B$3:$B$27)))</f>
        <v>6.8925392316648987E-2</v>
      </c>
      <c r="E20" s="22" cm="1">
        <f t="array" ref="E20">IF(B20&gt;MAX(raw_hazard_data!$F$3:$F$27),raw_hazard_data!$E$3, IF(hazard_calcs!B20&lt;MIN(raw_hazard_data!$F$3:$F$27),raw_hazard_data!$E$27, LinearInterpolate(hazard_calcs!B20,raw_hazard_data!$F$3:$F$27,raw_hazard_data!$E$3:$E$27)))</f>
        <v>7.4590991878653312E-2</v>
      </c>
      <c r="F20" s="22" cm="1">
        <f t="array" ref="F20">IF(B20&gt;MAX(raw_hazard_data!$I$3:$I$27),raw_hazard_data!$H$3, IF(hazard_calcs!B20&lt;MIN(raw_hazard_data!$I$3:$I$27),raw_hazard_data!$H$27, LinearInterpolate(hazard_calcs!B20,raw_hazard_data!$I$3:$I$27,raw_hazard_data!$H$3:$H$27)))</f>
        <v>7.1949062717309761E-2</v>
      </c>
      <c r="G20" s="22" cm="1">
        <f t="array" ref="G20">IF(B20&gt;MAX(raw_hazard_data!$L$3:$L$27),raw_hazard_data!$K$3, IF(hazard_calcs!B20&lt;MIN(raw_hazard_data!$L$3:$L$27),raw_hazard_data!$K$27, LinearInterpolate(hazard_calcs!B20,raw_hazard_data!$L$3:$L$27,raw_hazard_data!$K$3:$K$27)))</f>
        <v>1.2421923875970159E-2</v>
      </c>
      <c r="H20" s="22">
        <f t="shared" si="0"/>
        <v>7.1821815637537353E-2</v>
      </c>
      <c r="I20" s="22">
        <f t="shared" si="4"/>
        <v>1.5770170189959882</v>
      </c>
      <c r="J20" s="22">
        <f t="shared" si="5"/>
        <v>2.2914288725255805</v>
      </c>
      <c r="K20" s="24">
        <f t="shared" si="6"/>
        <v>0.2513057840817613</v>
      </c>
      <c r="L20" s="22">
        <f t="shared" si="7"/>
        <v>1.8143236416180601</v>
      </c>
      <c r="M20" s="22">
        <f t="shared" si="8"/>
        <v>1.8449214640695852</v>
      </c>
      <c r="N20" s="22">
        <f t="shared" si="9"/>
        <v>5.6736707431443115E-2</v>
      </c>
      <c r="O20" s="22">
        <f t="shared" si="1"/>
        <v>3.1050184780783092E-2</v>
      </c>
      <c r="P20" s="22">
        <f t="shared" si="2"/>
        <v>1.3010315691610166E-2</v>
      </c>
      <c r="Q20" s="1"/>
      <c r="R20" s="2"/>
      <c r="T20" s="3"/>
    </row>
    <row r="21" spans="1:21" x14ac:dyDescent="0.25">
      <c r="A21" s="4">
        <v>0.354825</v>
      </c>
      <c r="B21" s="17">
        <f t="shared" si="3"/>
        <v>8.7646736231386645E-3</v>
      </c>
      <c r="C21" s="23">
        <v>4.4721360000000002E-2</v>
      </c>
      <c r="D21" s="22" cm="1">
        <f t="array" ref="D21">IF(B21&gt;MAX(raw_hazard_data!$C$3:$C$27),raw_hazard_data!$B$3, IF(hazard_calcs!B21&lt;MIN(raw_hazard_data!$C$3:$C$27),raw_hazard_data!$B$27, LinearInterpolate(hazard_calcs!B21,raw_hazard_data!$C$3:$C$27,raw_hazard_data!$B$3:$B$27)))</f>
        <v>0.11118536721669581</v>
      </c>
      <c r="E21" s="22" cm="1">
        <f t="array" ref="E21">IF(B21&gt;MAX(raw_hazard_data!$F$3:$F$27),raw_hazard_data!$E$3, IF(hazard_calcs!B21&lt;MIN(raw_hazard_data!$F$3:$F$27),raw_hazard_data!$E$27, LinearInterpolate(hazard_calcs!B21,raw_hazard_data!$F$3:$F$27,raw_hazard_data!$E$3:$E$27)))</f>
        <v>0.11939547275077031</v>
      </c>
      <c r="F21" s="22" cm="1">
        <f t="array" ref="F21">IF(B21&gt;MAX(raw_hazard_data!$I$3:$I$27),raw_hazard_data!$H$3, IF(hazard_calcs!B21&lt;MIN(raw_hazard_data!$I$3:$I$27),raw_hazard_data!$H$27, LinearInterpolate(hazard_calcs!B21,raw_hazard_data!$I$3:$I$27,raw_hazard_data!$H$3:$H$27)))</f>
        <v>0.11063609155553744</v>
      </c>
      <c r="G21" s="22" cm="1">
        <f t="array" ref="G21">IF(B21&gt;MAX(raw_hazard_data!$L$3:$L$27),raw_hazard_data!$K$3, IF(hazard_calcs!B21&lt;MIN(raw_hazard_data!$L$3:$L$27),raw_hazard_data!$K$27, LinearInterpolate(hazard_calcs!B21,raw_hazard_data!$L$3:$L$27,raw_hazard_data!$K$3:$K$27)))</f>
        <v>1.7762433917808559E-2</v>
      </c>
      <c r="H21" s="22">
        <f t="shared" si="0"/>
        <v>0.11373897717433452</v>
      </c>
      <c r="I21" s="22">
        <f t="shared" si="4"/>
        <v>1.563603527304213</v>
      </c>
      <c r="J21" s="22">
        <f t="shared" si="5"/>
        <v>2.2877439205967121</v>
      </c>
      <c r="K21" s="24">
        <f t="shared" si="6"/>
        <v>0.22849353952506496</v>
      </c>
      <c r="L21" s="22">
        <f t="shared" si="7"/>
        <v>1.8184410499203458</v>
      </c>
      <c r="M21" s="22">
        <f t="shared" si="8"/>
        <v>1.8351561747889003</v>
      </c>
      <c r="N21" s="22">
        <f t="shared" si="9"/>
        <v>8.2070679948957337E-2</v>
      </c>
      <c r="O21" s="22">
        <f t="shared" si="1"/>
        <v>1.6022689439050771E-2</v>
      </c>
      <c r="P21" s="22">
        <f t="shared" si="2"/>
        <v>9.0621443646825457E-3</v>
      </c>
      <c r="Q21" s="1"/>
      <c r="R21" s="2"/>
      <c r="S21" t="s">
        <v>9</v>
      </c>
      <c r="T21" s="5">
        <f>(T18-T17)*(T19^2-T17^2) - (T19-T17)*(T18^2-T17^2)</f>
        <v>4.2619911433512936</v>
      </c>
    </row>
    <row r="22" spans="1:21" x14ac:dyDescent="0.25">
      <c r="A22" s="4">
        <v>0.248694</v>
      </c>
      <c r="B22" s="17">
        <f t="shared" si="3"/>
        <v>5.7188450696316791E-3</v>
      </c>
      <c r="C22" s="23">
        <v>6.5034490999999903E-2</v>
      </c>
      <c r="D22" s="22" cm="1">
        <f t="array" ref="D22">IF(B22&gt;MAX(raw_hazard_data!$C$3:$C$27),raw_hazard_data!$B$3, IF(hazard_calcs!B22&lt;MIN(raw_hazard_data!$C$3:$C$27),raw_hazard_data!$B$27, LinearInterpolate(hazard_calcs!B22,raw_hazard_data!$C$3:$C$27,raw_hazard_data!$B$3:$B$27)))</f>
        <v>0.17959703922944967</v>
      </c>
      <c r="E22" s="22" cm="1">
        <f t="array" ref="E22">IF(B22&gt;MAX(raw_hazard_data!$F$3:$F$27),raw_hazard_data!$E$3, IF(hazard_calcs!B22&lt;MIN(raw_hazard_data!$F$3:$F$27),raw_hazard_data!$E$27, LinearInterpolate(hazard_calcs!B22,raw_hazard_data!$F$3:$F$27,raw_hazard_data!$E$3:$E$27)))</f>
        <v>0.18571657156707347</v>
      </c>
      <c r="F22" s="22" cm="1">
        <f t="array" ref="F22">IF(B22&gt;MAX(raw_hazard_data!$I$3:$I$27),raw_hazard_data!$H$3, IF(hazard_calcs!B22&lt;MIN(raw_hazard_data!$I$3:$I$27),raw_hazard_data!$H$27, LinearInterpolate(hazard_calcs!B22,raw_hazard_data!$I$3:$I$27,raw_hazard_data!$H$3:$H$27)))</f>
        <v>0.1695653591028484</v>
      </c>
      <c r="G22" s="22" cm="1">
        <f t="array" ref="G22">IF(B22&gt;MAX(raw_hazard_data!$L$3:$L$27),raw_hazard_data!$K$3, IF(hazard_calcs!B22&lt;MIN(raw_hazard_data!$L$3:$L$27),raw_hazard_data!$K$27, LinearInterpolate(hazard_calcs!B22,raw_hazard_data!$L$3:$L$27,raw_hazard_data!$K$3:$K$27)))</f>
        <v>2.5401356370580601E-2</v>
      </c>
      <c r="H22" s="22">
        <f t="shared" si="0"/>
        <v>0.17829298996645718</v>
      </c>
      <c r="I22" s="22">
        <f t="shared" si="4"/>
        <v>1.5429462432107339</v>
      </c>
      <c r="J22" s="22">
        <f t="shared" si="5"/>
        <v>2.2824730641042992</v>
      </c>
      <c r="K22" s="24">
        <f t="shared" si="6"/>
        <v>0.21075481478596728</v>
      </c>
      <c r="L22" s="22">
        <f t="shared" si="7"/>
        <v>1.8139704778686825</v>
      </c>
      <c r="M22" s="22">
        <f t="shared" si="8"/>
        <v>1.8202688010458208</v>
      </c>
      <c r="N22" s="22">
        <f t="shared" si="9"/>
        <v>0.11838025495919505</v>
      </c>
      <c r="O22" s="22">
        <f t="shared" si="1"/>
        <v>8.2681179720617663E-3</v>
      </c>
      <c r="P22" s="22">
        <f t="shared" si="2"/>
        <v>5.9674869292697915E-3</v>
      </c>
      <c r="Q22" s="1"/>
      <c r="R22" s="2"/>
      <c r="S22" t="s">
        <v>11</v>
      </c>
      <c r="T22" s="5">
        <f>(S18-S17)*(T19^2-T17^2) - (S19-S17)*(T18^2-T17^2)</f>
        <v>-9.7377982454317671</v>
      </c>
      <c r="U22" t="s">
        <v>13</v>
      </c>
    </row>
    <row r="23" spans="1:21" x14ac:dyDescent="0.25">
      <c r="A23" s="4">
        <v>0.16441</v>
      </c>
      <c r="B23" s="17">
        <f t="shared" si="3"/>
        <v>3.5923443363975343E-3</v>
      </c>
      <c r="C23" s="23">
        <v>9.4574161000000004E-2</v>
      </c>
      <c r="D23" s="22" cm="1">
        <f t="array" ref="D23">IF(B23&gt;MAX(raw_hazard_data!$C$3:$C$27),raw_hazard_data!$B$3, IF(hazard_calcs!B23&lt;MIN(raw_hazard_data!$C$3:$C$27),raw_hazard_data!$B$27, LinearInterpolate(hazard_calcs!B23,raw_hazard_data!$C$3:$C$27,raw_hazard_data!$B$3:$B$27)))</f>
        <v>0.27679541596616286</v>
      </c>
      <c r="E23" s="22" cm="1">
        <f t="array" ref="E23">IF(B23&gt;MAX(raw_hazard_data!$F$3:$F$27),raw_hazard_data!$E$3, IF(hazard_calcs!B23&lt;MIN(raw_hazard_data!$F$3:$F$27),raw_hazard_data!$E$27, LinearInterpolate(hazard_calcs!B23,raw_hazard_data!$F$3:$F$27,raw_hazard_data!$E$3:$E$27)))</f>
        <v>0.28002555157971232</v>
      </c>
      <c r="F23" s="22" cm="1">
        <f t="array" ref="F23">IF(B23&gt;MAX(raw_hazard_data!$I$3:$I$27),raw_hazard_data!$H$3, IF(hazard_calcs!B23&lt;MIN(raw_hazard_data!$I$3:$I$27),raw_hazard_data!$H$27, LinearInterpolate(hazard_calcs!B23,raw_hazard_data!$I$3:$I$27,raw_hazard_data!$H$3:$H$27)))</f>
        <v>0.25266945069097135</v>
      </c>
      <c r="G23" s="22" cm="1">
        <f t="array" ref="G23">IF(B23&gt;MAX(raw_hazard_data!$L$3:$L$27),raw_hazard_data!$K$3, IF(hazard_calcs!B23&lt;MIN(raw_hazard_data!$L$3:$L$27),raw_hazard_data!$K$27, LinearInterpolate(hazard_calcs!B23,raw_hazard_data!$L$3:$L$27,raw_hazard_data!$K$3:$K$27)))</f>
        <v>3.6477865390004229E-2</v>
      </c>
      <c r="H23" s="22">
        <f t="shared" si="0"/>
        <v>0.26983013941228218</v>
      </c>
      <c r="I23" s="22">
        <f t="shared" si="4"/>
        <v>1.5136543553880699</v>
      </c>
      <c r="J23" s="22">
        <f t="shared" si="5"/>
        <v>2.2748302728808971</v>
      </c>
      <c r="K23" s="24">
        <f t="shared" si="6"/>
        <v>0.2031707776337075</v>
      </c>
      <c r="L23" s="22">
        <f t="shared" si="7"/>
        <v>1.7972022591689929</v>
      </c>
      <c r="M23" s="22">
        <f t="shared" si="8"/>
        <v>1.79909532444788</v>
      </c>
      <c r="N23" s="22">
        <f t="shared" si="9"/>
        <v>0.17014793086868105</v>
      </c>
      <c r="O23" s="22">
        <f t="shared" si="1"/>
        <v>4.2665604137559635E-3</v>
      </c>
      <c r="P23" s="22">
        <f t="shared" si="2"/>
        <v>3.7150897639304549E-3</v>
      </c>
      <c r="Q23" s="1"/>
      <c r="R23" s="2"/>
      <c r="S23" t="s">
        <v>12</v>
      </c>
      <c r="T23" s="5">
        <f>(T18-T17)*(S19-S17) - (T19-T17)*(S18-S17)</f>
        <v>-0.85320465340770024</v>
      </c>
      <c r="U23" t="s">
        <v>13</v>
      </c>
    </row>
    <row r="24" spans="1:21" x14ac:dyDescent="0.25">
      <c r="A24" s="4">
        <v>0.102286</v>
      </c>
      <c r="B24" s="17">
        <f t="shared" si="3"/>
        <v>2.1580749386121588E-3</v>
      </c>
      <c r="C24" s="23">
        <v>0.13753120399999899</v>
      </c>
      <c r="D24" s="22" cm="1">
        <f t="array" ref="D24">IF(B24&gt;MAX(raw_hazard_data!$C$3:$C$27),raw_hazard_data!$B$3, IF(hazard_calcs!B24&lt;MIN(raw_hazard_data!$C$3:$C$27),raw_hazard_data!$B$27, LinearInterpolate(hazard_calcs!B24,raw_hazard_data!$C$3:$C$27,raw_hazard_data!$B$3:$B$27)))</f>
        <v>0.41202697959280671</v>
      </c>
      <c r="E24" s="22" cm="1">
        <f t="array" ref="E24">IF(B24&gt;MAX(raw_hazard_data!$F$3:$F$27),raw_hazard_data!$E$3, IF(hazard_calcs!B24&lt;MIN(raw_hazard_data!$F$3:$F$27),raw_hazard_data!$E$27, LinearInterpolate(hazard_calcs!B24,raw_hazard_data!$F$3:$F$27,raw_hazard_data!$E$3:$E$27)))</f>
        <v>0.41132469644269076</v>
      </c>
      <c r="F24" s="22" cm="1">
        <f t="array" ref="F24">IF(B24&gt;MAX(raw_hazard_data!$I$3:$I$27),raw_hazard_data!$H$3, IF(hazard_calcs!B24&lt;MIN(raw_hazard_data!$I$3:$I$27),raw_hazard_data!$H$27, LinearInterpolate(hazard_calcs!B24,raw_hazard_data!$I$3:$I$27,raw_hazard_data!$H$3:$H$27)))</f>
        <v>0.36633247758007703</v>
      </c>
      <c r="G24" s="22" cm="1">
        <f t="array" ref="G24">IF(B24&gt;MAX(raw_hazard_data!$L$3:$L$27),raw_hazard_data!$K$3, IF(hazard_calcs!B24&lt;MIN(raw_hazard_data!$L$3:$L$27),raw_hazard_data!$K$27, LinearInterpolate(hazard_calcs!B24,raw_hazard_data!$L$3:$L$27,raw_hazard_data!$K$3:$K$27)))</f>
        <v>5.2816866096286705E-2</v>
      </c>
      <c r="H24" s="22">
        <f t="shared" si="0"/>
        <v>0.39656138453852491</v>
      </c>
      <c r="I24" s="22">
        <f t="shared" si="4"/>
        <v>1.4731003569476719</v>
      </c>
      <c r="J24" s="22">
        <f t="shared" si="5"/>
        <v>2.2635563623935622</v>
      </c>
      <c r="K24" s="24">
        <f t="shared" si="6"/>
        <v>0.20465444633463797</v>
      </c>
      <c r="L24" s="22">
        <f t="shared" si="7"/>
        <v>1.7666302138766932</v>
      </c>
      <c r="M24" s="22">
        <f t="shared" si="8"/>
        <v>1.7695213589898806</v>
      </c>
      <c r="N24" s="22">
        <f t="shared" si="9"/>
        <v>0.24336440300559273</v>
      </c>
      <c r="O24" s="22">
        <f t="shared" si="1"/>
        <v>2.2016543684729786E-3</v>
      </c>
      <c r="P24" s="22">
        <f t="shared" si="2"/>
        <v>2.1865755950386703E-3</v>
      </c>
      <c r="Q24" s="1"/>
      <c r="R24" s="2"/>
      <c r="T24" s="3"/>
    </row>
    <row r="25" spans="1:21" x14ac:dyDescent="0.25">
      <c r="A25" s="4">
        <v>5.9333999999999998E-2</v>
      </c>
      <c r="B25" s="17">
        <f t="shared" si="3"/>
        <v>1.223342879099208E-3</v>
      </c>
      <c r="C25" s="23">
        <v>0.2</v>
      </c>
      <c r="D25" s="22" cm="1">
        <f t="array" ref="D25">IF(B25&gt;MAX(raw_hazard_data!$C$3:$C$27),raw_hazard_data!$B$3, IF(hazard_calcs!B25&lt;MIN(raw_hazard_data!$C$3:$C$27),raw_hazard_data!$B$27, LinearInterpolate(hazard_calcs!B25,raw_hazard_data!$C$3:$C$27,raw_hazard_data!$B$3:$B$27)))</f>
        <v>0.60006488482404219</v>
      </c>
      <c r="E25" s="22" cm="1">
        <f t="array" ref="E25">IF(B25&gt;MAX(raw_hazard_data!$F$3:$F$27),raw_hazard_data!$E$3, IF(hazard_calcs!B25&lt;MIN(raw_hazard_data!$F$3:$F$27),raw_hazard_data!$E$27, LinearInterpolate(hazard_calcs!B25,raw_hazard_data!$F$3:$F$27,raw_hazard_data!$E$3:$E$27)))</f>
        <v>0.59346993716056584</v>
      </c>
      <c r="F25" s="22" cm="1">
        <f t="array" ref="F25">IF(B25&gt;MAX(raw_hazard_data!$I$3:$I$27),raw_hazard_data!$H$3, IF(hazard_calcs!B25&lt;MIN(raw_hazard_data!$I$3:$I$27),raw_hazard_data!$H$27, LinearInterpolate(hazard_calcs!B25,raw_hazard_data!$I$3:$I$27,raw_hazard_data!$H$3:$H$27)))</f>
        <v>0.51928197648933616</v>
      </c>
      <c r="G25" s="22" cm="1">
        <f t="array" ref="G25">IF(B25&gt;MAX(raw_hazard_data!$L$3:$L$27),raw_hazard_data!$K$3, IF(hazard_calcs!B25&lt;MIN(raw_hazard_data!$L$3:$L$27),raw_hazard_data!$K$27, LinearInterpolate(hazard_calcs!B25,raw_hazard_data!$L$3:$L$27,raw_hazard_data!$K$3:$K$27)))</f>
        <v>7.7234793196702733E-2</v>
      </c>
      <c r="H25" s="22">
        <f t="shared" si="0"/>
        <v>0.57093893282464803</v>
      </c>
      <c r="I25" s="22">
        <f t="shared" si="4"/>
        <v>1.4172995414961127</v>
      </c>
      <c r="J25" s="22">
        <f t="shared" si="5"/>
        <v>2.246707992694275</v>
      </c>
      <c r="K25" s="24">
        <f t="shared" si="6"/>
        <v>0.21444124144112536</v>
      </c>
      <c r="L25" s="22">
        <f t="shared" si="7"/>
        <v>1.7187981182504264</v>
      </c>
      <c r="M25" s="22">
        <f t="shared" si="8"/>
        <v>1.7283277106954236</v>
      </c>
      <c r="N25" s="22">
        <f t="shared" si="9"/>
        <v>0.34566554213908474</v>
      </c>
      <c r="O25" s="22">
        <f t="shared" si="1"/>
        <v>1.1361099881295926E-3</v>
      </c>
      <c r="P25" s="22">
        <f t="shared" si="2"/>
        <v>1.2166818282128458E-3</v>
      </c>
      <c r="Q25" s="1"/>
      <c r="R25" s="2"/>
      <c r="S25" t="s">
        <v>15</v>
      </c>
      <c r="T25" s="5">
        <f>S17-T26*T17-T27*T17^2</f>
        <v>-9.8703238178638433</v>
      </c>
      <c r="U25" t="s">
        <v>18</v>
      </c>
    </row>
    <row r="26" spans="1:21" x14ac:dyDescent="0.25">
      <c r="A26" s="4">
        <v>3.1546999999999999E-2</v>
      </c>
      <c r="B26" s="17">
        <f t="shared" si="3"/>
        <v>6.4110651930390252E-4</v>
      </c>
      <c r="C26" s="23">
        <v>0.290843087</v>
      </c>
      <c r="D26" s="22" cm="1">
        <f t="array" ref="D26">IF(B26&gt;MAX(raw_hazard_data!$C$3:$C$27),raw_hazard_data!$B$3, IF(hazard_calcs!B26&lt;MIN(raw_hazard_data!$C$3:$C$27),raw_hazard_data!$B$27, LinearInterpolate(hazard_calcs!B26,raw_hazard_data!$C$3:$C$27,raw_hazard_data!$B$3:$B$27)))</f>
        <v>0.86470277346017121</v>
      </c>
      <c r="E26" s="22" cm="1">
        <f t="array" ref="E26">IF(B26&gt;MAX(raw_hazard_data!$F$3:$F$27),raw_hazard_data!$E$3, IF(hazard_calcs!B26&lt;MIN(raw_hazard_data!$F$3:$F$27),raw_hazard_data!$E$27, LinearInterpolate(hazard_calcs!B26,raw_hazard_data!$F$3:$F$27,raw_hazard_data!$E$3:$E$27)))</f>
        <v>0.84829706332976595</v>
      </c>
      <c r="F26" s="22" cm="1">
        <f t="array" ref="F26">IF(B26&gt;MAX(raw_hazard_data!$I$3:$I$27),raw_hazard_data!$H$3, IF(hazard_calcs!B26&lt;MIN(raw_hazard_data!$I$3:$I$27),raw_hazard_data!$H$27, LinearInterpolate(hazard_calcs!B26,raw_hazard_data!$I$3:$I$27,raw_hazard_data!$H$3:$H$27)))</f>
        <v>0.7300432454303839</v>
      </c>
      <c r="G26" s="22" cm="1">
        <f t="array" ref="G26">IF(B26&gt;MAX(raw_hazard_data!$L$3:$L$27),raw_hazard_data!$K$3, IF(hazard_calcs!B26&lt;MIN(raw_hazard_data!$L$3:$L$27),raw_hazard_data!$K$27, LinearInterpolate(hazard_calcs!B26,raw_hazard_data!$L$3:$L$27,raw_hazard_data!$K$3:$K$27)))</f>
        <v>0.11373028805245365</v>
      </c>
      <c r="H26" s="22">
        <f t="shared" si="0"/>
        <v>0.81434769407344032</v>
      </c>
      <c r="I26" s="22">
        <f t="shared" si="4"/>
        <v>1.3394087378964992</v>
      </c>
      <c r="J26" s="22">
        <f t="shared" si="5"/>
        <v>2.2215261012438066</v>
      </c>
      <c r="K26" s="24">
        <f t="shared" si="6"/>
        <v>0.2316352020171672</v>
      </c>
      <c r="L26" s="22">
        <f t="shared" si="7"/>
        <v>1.6475036019940321</v>
      </c>
      <c r="M26" s="22">
        <f t="shared" si="8"/>
        <v>1.6702027491517395</v>
      </c>
      <c r="N26" s="22">
        <f t="shared" si="9"/>
        <v>0.48576692347917855</v>
      </c>
      <c r="O26" s="22">
        <f t="shared" si="1"/>
        <v>5.8626182546683489E-4</v>
      </c>
      <c r="P26" s="22">
        <f t="shared" si="2"/>
        <v>6.4003966964424946E-4</v>
      </c>
      <c r="Q26" s="1"/>
      <c r="R26" s="2"/>
      <c r="S26" t="s">
        <v>10</v>
      </c>
      <c r="T26" s="5">
        <f>T22/T21</f>
        <v>-2.2848002067349982</v>
      </c>
      <c r="U26" t="s">
        <v>19</v>
      </c>
    </row>
    <row r="27" spans="1:21" x14ac:dyDescent="0.25">
      <c r="A27" s="4">
        <v>1.5029000000000001E-2</v>
      </c>
      <c r="B27" s="17">
        <f t="shared" si="3"/>
        <v>3.0286159735653481E-4</v>
      </c>
      <c r="C27" s="23">
        <v>0.42294850499999898</v>
      </c>
      <c r="D27" s="22" cm="1">
        <f t="array" ref="D27">IF(B27&gt;MAX(raw_hazard_data!$C$3:$C$27),raw_hazard_data!$B$3, IF(hazard_calcs!B27&lt;MIN(raw_hazard_data!$C$3:$C$27),raw_hazard_data!$B$27, LinearInterpolate(hazard_calcs!B27,raw_hazard_data!$C$3:$C$27,raw_hazard_data!$B$3:$B$27)))</f>
        <v>1.2432872880736825</v>
      </c>
      <c r="E27" s="22" cm="1">
        <f t="array" ref="E27">IF(B27&gt;MAX(raw_hazard_data!$F$3:$F$27),raw_hazard_data!$E$3, IF(hazard_calcs!B27&lt;MIN(raw_hazard_data!$F$3:$F$27),raw_hazard_data!$E$27, LinearInterpolate(hazard_calcs!B27,raw_hazard_data!$F$3:$F$27,raw_hazard_data!$E$3:$E$27)))</f>
        <v>1.2096036813599884</v>
      </c>
      <c r="F27" s="22" cm="1">
        <f t="array" ref="F27">IF(B27&gt;MAX(raw_hazard_data!$I$3:$I$27),raw_hazard_data!$H$3, IF(hazard_calcs!B27&lt;MIN(raw_hazard_data!$I$3:$I$27),raw_hazard_data!$H$27, LinearInterpolate(hazard_calcs!B27,raw_hazard_data!$I$3:$I$27,raw_hazard_data!$H$3:$H$27)))</f>
        <v>1.0500202291196372</v>
      </c>
      <c r="G27" s="22" cm="1">
        <f t="array" ref="G27">IF(B27&gt;MAX(raw_hazard_data!$L$3:$L$27),raw_hazard_data!$K$3, IF(hazard_calcs!B27&lt;MIN(raw_hazard_data!$L$3:$L$27),raw_hazard_data!$K$27, LinearInterpolate(hazard_calcs!B27,raw_hazard_data!$L$3:$L$27,raw_hazard_data!$K$3:$K$27)))</f>
        <v>0.17132896556280247</v>
      </c>
      <c r="H27" s="22">
        <f t="shared" si="0"/>
        <v>1.167637066184436</v>
      </c>
      <c r="I27" s="22">
        <f t="shared" si="4"/>
        <v>1.2263561388209805</v>
      </c>
      <c r="J27" s="22">
        <f t="shared" si="5"/>
        <v>2.1817830137616663</v>
      </c>
      <c r="K27" s="24">
        <f t="shared" si="6"/>
        <v>0.26104649506982425</v>
      </c>
      <c r="L27" s="22">
        <f t="shared" si="7"/>
        <v>1.5353100837557623</v>
      </c>
      <c r="M27" s="22">
        <f t="shared" si="8"/>
        <v>1.5846412169237376</v>
      </c>
      <c r="N27" s="22">
        <f t="shared" si="9"/>
        <v>0.6702216336592739</v>
      </c>
      <c r="O27" s="22">
        <f t="shared" si="1"/>
        <v>3.0252610524187002E-4</v>
      </c>
      <c r="P27" s="22">
        <f t="shared" si="2"/>
        <v>3.1831280527457728E-4</v>
      </c>
      <c r="Q27" s="1"/>
      <c r="R27" s="2"/>
      <c r="S27" t="s">
        <v>14</v>
      </c>
      <c r="T27" s="5">
        <f>T23/T21</f>
        <v>-0.20018921314247673</v>
      </c>
      <c r="U27" t="s">
        <v>20</v>
      </c>
    </row>
    <row r="28" spans="1:21" x14ac:dyDescent="0.25">
      <c r="A28" s="4">
        <v>6.2389999999999998E-3</v>
      </c>
      <c r="B28" s="17">
        <f t="shared" si="3"/>
        <v>1.2517087784936801E-4</v>
      </c>
      <c r="C28" s="23">
        <v>0.61505824399999898</v>
      </c>
      <c r="D28" s="22" cm="1">
        <f t="array" ref="D28">IF(B28&gt;MAX(raw_hazard_data!$C$3:$C$27),raw_hazard_data!$B$3, IF(hazard_calcs!B28&lt;MIN(raw_hazard_data!$C$3:$C$27),raw_hazard_data!$B$27, LinearInterpolate(hazard_calcs!B28,raw_hazard_data!$C$3:$C$27,raw_hazard_data!$B$3:$B$27)))</f>
        <v>1.7978878753071676</v>
      </c>
      <c r="E28" s="22" cm="1">
        <f t="array" ref="E28">IF(B28&gt;MAX(raw_hazard_data!$F$3:$F$27),raw_hazard_data!$E$3, IF(hazard_calcs!B28&lt;MIN(raw_hazard_data!$F$3:$F$27),raw_hazard_data!$E$27, LinearInterpolate(hazard_calcs!B28,raw_hazard_data!$F$3:$F$27,raw_hazard_data!$E$3:$E$27)))</f>
        <v>1.7326527483032428</v>
      </c>
      <c r="F28" s="22" cm="1">
        <f t="array" ref="F28">IF(B28&gt;MAX(raw_hazard_data!$I$3:$I$27),raw_hazard_data!$H$3, IF(hazard_calcs!B28&lt;MIN(raw_hazard_data!$I$3:$I$27),raw_hazard_data!$H$27, LinearInterpolate(hazard_calcs!B28,raw_hazard_data!$I$3:$I$27,raw_hazard_data!$H$3:$H$27)))</f>
        <v>1.516484908092844</v>
      </c>
      <c r="G28" s="22" cm="1">
        <f t="array" ref="G28">IF(B28&gt;MAX(raw_hazard_data!$L$3:$L$27),raw_hazard_data!$K$3, IF(hazard_calcs!B28&lt;MIN(raw_hazard_data!$L$3:$L$27),raw_hazard_data!$K$27, LinearInterpolate(hazard_calcs!B28,raw_hazard_data!$L$3:$L$27,raw_hazard_data!$K$3:$K$27)))</f>
        <v>0.26100611890770015</v>
      </c>
      <c r="H28" s="22">
        <f t="shared" si="0"/>
        <v>1.6823418439010849</v>
      </c>
      <c r="I28" s="22">
        <f t="shared" si="4"/>
        <v>1.0616506099516527</v>
      </c>
      <c r="J28" s="22">
        <f t="shared" si="5"/>
        <v>2.1199057779536865</v>
      </c>
      <c r="K28" s="24">
        <f t="shared" si="6"/>
        <v>0.30979284768292398</v>
      </c>
      <c r="L28" s="22">
        <f t="shared" si="7"/>
        <v>1.3532843625935345</v>
      </c>
      <c r="M28" s="22">
        <f t="shared" si="8"/>
        <v>1.4584962979524154</v>
      </c>
      <c r="N28" s="22">
        <f t="shared" si="9"/>
        <v>0.89706017189911191</v>
      </c>
      <c r="O28" s="22">
        <f t="shared" si="1"/>
        <v>1.5611121163960993E-4</v>
      </c>
      <c r="P28" s="22">
        <f t="shared" si="2"/>
        <v>1.4966445549858808E-4</v>
      </c>
      <c r="Q28" s="1"/>
      <c r="R28" s="2"/>
      <c r="T28" s="3"/>
    </row>
    <row r="29" spans="1:21" x14ac:dyDescent="0.25">
      <c r="A29" s="4">
        <v>2.1819999999999999E-3</v>
      </c>
      <c r="B29" s="17">
        <f t="shared" si="3"/>
        <v>4.3687680612023856E-5</v>
      </c>
      <c r="C29" s="23">
        <v>0.89442719100000001</v>
      </c>
      <c r="D29" s="22" cm="1">
        <f t="array" ref="D29">IF(B29&gt;MAX(raw_hazard_data!$C$3:$C$27),raw_hazard_data!$B$3, IF(hazard_calcs!B29&lt;MIN(raw_hazard_data!$C$3:$C$27),raw_hazard_data!$B$27, LinearInterpolate(hazard_calcs!B29,raw_hazard_data!$C$3:$C$27,raw_hazard_data!$B$3:$B$27)))</f>
        <v>2.6346710292538762</v>
      </c>
      <c r="E29" s="22" cm="1">
        <f t="array" ref="E29">IF(B29&gt;MAX(raw_hazard_data!$F$3:$F$27),raw_hazard_data!$E$3, IF(hazard_calcs!B29&lt;MIN(raw_hazard_data!$F$3:$F$27),raw_hazard_data!$E$27, LinearInterpolate(hazard_calcs!B29,raw_hazard_data!$F$3:$F$27,raw_hazard_data!$E$3:$E$27)))</f>
        <v>2.5106497090967337</v>
      </c>
      <c r="F29" s="22" cm="1">
        <f t="array" ref="F29">IF(B29&gt;MAX(raw_hazard_data!$I$3:$I$27),raw_hazard_data!$H$3, IF(hazard_calcs!B29&lt;MIN(raw_hazard_data!$I$3:$I$27),raw_hazard_data!$H$27, LinearInterpolate(hazard_calcs!B29,raw_hazard_data!$I$3:$I$27,raw_hazard_data!$H$3:$H$27)))</f>
        <v>2.2037496065663298</v>
      </c>
      <c r="G29" s="22" cm="1">
        <f t="array" ref="G29">IF(B29&gt;MAX(raw_hazard_data!$L$3:$L$27),raw_hazard_data!$K$3, IF(hazard_calcs!B29&lt;MIN(raw_hazard_data!$L$3:$L$27),raw_hazard_data!$K$27, LinearInterpolate(hazard_calcs!B29,raw_hazard_data!$L$3:$L$27,raw_hazard_data!$K$3:$K$27)))</f>
        <v>0.39563774848955335</v>
      </c>
      <c r="H29" s="22">
        <f t="shared" si="0"/>
        <v>2.4496901149723134</v>
      </c>
      <c r="I29" s="22">
        <f t="shared" si="4"/>
        <v>0.81609916320885967</v>
      </c>
      <c r="J29" s="22">
        <f t="shared" si="5"/>
        <v>2.0270099535422079</v>
      </c>
      <c r="K29" s="24">
        <f t="shared" si="6"/>
        <v>0.40114327950062206</v>
      </c>
      <c r="L29" s="22">
        <f t="shared" si="7"/>
        <v>1.0159911665078174</v>
      </c>
      <c r="M29" s="22">
        <f t="shared" si="8"/>
        <v>1.2701907095838654</v>
      </c>
      <c r="N29" s="22">
        <f t="shared" si="9"/>
        <v>1.1360931084073935</v>
      </c>
      <c r="O29" s="22">
        <f t="shared" si="1"/>
        <v>8.0557380026032135E-5</v>
      </c>
      <c r="P29" s="22">
        <f t="shared" si="2"/>
        <v>6.6527403706387149E-5</v>
      </c>
      <c r="Q29" s="1"/>
      <c r="R29" s="2"/>
      <c r="S29" t="s">
        <v>3</v>
      </c>
      <c r="T29" s="5">
        <f>EXP(T25)</f>
        <v>5.1685989057757221E-5</v>
      </c>
    </row>
    <row r="30" spans="1:21" x14ac:dyDescent="0.25">
      <c r="A30" s="4">
        <v>6.1600000000000001E-4</v>
      </c>
      <c r="B30" s="17">
        <f t="shared" si="3"/>
        <v>1.2323796119018593E-5</v>
      </c>
      <c r="C30" s="23">
        <v>1.3006898250000001</v>
      </c>
      <c r="D30" s="22" cm="1">
        <f t="array" ref="D30">IF(B30&gt;MAX(raw_hazard_data!$C$3:$C$27),raw_hazard_data!$B$3, IF(hazard_calcs!B30&lt;MIN(raw_hazard_data!$C$3:$C$27),raw_hazard_data!$B$27, LinearInterpolate(hazard_calcs!B30,raw_hazard_data!$C$3:$C$27,raw_hazard_data!$B$3:$B$27)))</f>
        <v>3.926482828549207</v>
      </c>
      <c r="E30" s="22" cm="1">
        <f t="array" ref="E30">IF(B30&gt;MAX(raw_hazard_data!$F$3:$F$27),raw_hazard_data!$E$3, IF(hazard_calcs!B30&lt;MIN(raw_hazard_data!$F$3:$F$27),raw_hazard_data!$E$27, LinearInterpolate(hazard_calcs!B30,raw_hazard_data!$F$3:$F$27,raw_hazard_data!$E$3:$E$27)))</f>
        <v>3.7009850496451113</v>
      </c>
      <c r="F30" s="22" cm="1">
        <f t="array" ref="F30">IF(B30&gt;MAX(raw_hazard_data!$I$3:$I$27),raw_hazard_data!$H$3, IF(hazard_calcs!B30&lt;MIN(raw_hazard_data!$I$3:$I$27),raw_hazard_data!$H$27, LinearInterpolate(hazard_calcs!B30,raw_hazard_data!$I$3:$I$27,raw_hazard_data!$H$3:$H$27)))</f>
        <v>3.2230726615246068</v>
      </c>
      <c r="G30" s="22" cm="1">
        <f t="array" ref="G30">IF(B30&gt;MAX(raw_hazard_data!$L$3:$L$27),raw_hazard_data!$K$3, IF(hazard_calcs!B30&lt;MIN(raw_hazard_data!$L$3:$L$27),raw_hazard_data!$K$27, LinearInterpolate(hazard_calcs!B30,raw_hazard_data!$L$3:$L$27,raw_hazard_data!$K$3:$K$27)))</f>
        <v>0.59649362881667534</v>
      </c>
      <c r="H30" s="22">
        <f t="shared" si="0"/>
        <v>3.6168468465729746</v>
      </c>
      <c r="I30" s="22">
        <f t="shared" si="4"/>
        <v>0.44260900909664813</v>
      </c>
      <c r="J30" s="22">
        <f t="shared" si="5"/>
        <v>1.8884193961164939</v>
      </c>
      <c r="K30" s="24">
        <f t="shared" si="6"/>
        <v>0.70364546509410797</v>
      </c>
      <c r="L30" s="22">
        <f>IF($B$6&lt;K30,I30,I30+($B$6-K30)*(J30-I30)/(1-K30))</f>
        <v>0.44260900909664813</v>
      </c>
      <c r="M30" s="22">
        <f t="shared" si="8"/>
        <v>0.98478790422909024</v>
      </c>
      <c r="N30" s="22">
        <f t="shared" si="9"/>
        <v>1.2809036068138522</v>
      </c>
      <c r="O30" s="22">
        <f t="shared" si="1"/>
        <v>4.1569669545449453E-5</v>
      </c>
      <c r="P30" s="22">
        <f t="shared" si="2"/>
        <v>2.7957596005007937E-5</v>
      </c>
      <c r="Q30" s="1"/>
      <c r="R30" s="2"/>
      <c r="S30" t="s">
        <v>4</v>
      </c>
      <c r="T30" s="5">
        <f>-T26</f>
        <v>2.2848002067349982</v>
      </c>
    </row>
    <row r="31" spans="1:21" ht="15.75" thickBot="1" x14ac:dyDescent="0.3">
      <c r="A31" s="4">
        <v>1.2799999999999999E-4</v>
      </c>
      <c r="B31" s="17">
        <f t="shared" si="3"/>
        <v>2.5601638539826951E-6</v>
      </c>
      <c r="C31" s="23">
        <v>1.8914832180000001</v>
      </c>
      <c r="D31" s="22" cm="1">
        <f t="array" ref="D31">IF(B31&gt;MAX(raw_hazard_data!$C$3:$C$27),raw_hazard_data!$B$3, IF(hazard_calcs!B31&lt;MIN(raw_hazard_data!$C$3:$C$27),raw_hazard_data!$B$27, LinearInterpolate(hazard_calcs!B31,raw_hazard_data!$C$3:$C$27,raw_hazard_data!$B$3:$B$27)))</f>
        <v>5</v>
      </c>
      <c r="E31" s="22" cm="1">
        <f t="array" ref="E31">IF(B31&gt;MAX(raw_hazard_data!$F$3:$F$27),raw_hazard_data!$E$3, IF(hazard_calcs!B31&lt;MIN(raw_hazard_data!$F$3:$F$27),raw_hazard_data!$E$27, LinearInterpolate(hazard_calcs!B31,raw_hazard_data!$F$3:$F$27,raw_hazard_data!$E$3:$E$27)))</f>
        <v>5</v>
      </c>
      <c r="F31" s="22" cm="1">
        <f t="array" ref="F31">IF(B31&gt;MAX(raw_hazard_data!$I$3:$I$27),raw_hazard_data!$H$3, IF(hazard_calcs!B31&lt;MIN(raw_hazard_data!$I$3:$I$27),raw_hazard_data!$H$27, LinearInterpolate(hazard_calcs!B31,raw_hazard_data!$I$3:$I$27,raw_hazard_data!$H$3:$H$27)))</f>
        <v>4.7526795974846712</v>
      </c>
      <c r="G31" s="22" cm="1">
        <f t="array" ref="G31">IF(B31&gt;MAX(raw_hazard_data!$L$3:$L$27),raw_hazard_data!$K$3, IF(hazard_calcs!B31&lt;MIN(raw_hazard_data!$L$3:$L$27),raw_hazard_data!$K$27, LinearInterpolate(hazard_calcs!B31,raw_hazard_data!$L$3:$L$27,raw_hazard_data!$K$3:$K$27)))</f>
        <v>0.89758206675045171</v>
      </c>
      <c r="H31" s="22">
        <f t="shared" si="0"/>
        <v>4.917559865828224</v>
      </c>
      <c r="I31" s="22">
        <f t="shared" si="4"/>
        <v>2.6380842934968209E-2</v>
      </c>
      <c r="J31" s="22">
        <f t="shared" si="5"/>
        <v>1.6806683739421884</v>
      </c>
      <c r="K31" s="24">
        <f>(J31*G31)/(I31*H31)</f>
        <v>11.628343997446933</v>
      </c>
      <c r="L31" s="22">
        <f t="shared" si="7"/>
        <v>2.6380842934968209E-2</v>
      </c>
      <c r="M31" s="22">
        <f t="shared" si="8"/>
        <v>0.6467386670626758</v>
      </c>
      <c r="N31" s="22">
        <f t="shared" si="9"/>
        <v>1.2232953351807407</v>
      </c>
      <c r="O31" s="22">
        <f t="shared" si="1"/>
        <v>2.1451013233088729E-5</v>
      </c>
      <c r="P31" s="22">
        <f t="shared" si="2"/>
        <v>1.1107502481908599E-5</v>
      </c>
      <c r="Q31" s="1"/>
      <c r="R31" s="7"/>
      <c r="S31" s="8" t="s">
        <v>16</v>
      </c>
      <c r="T31" s="18">
        <f>-T27</f>
        <v>0.20018921314247673</v>
      </c>
    </row>
    <row r="32" spans="1:21" x14ac:dyDescent="0.25">
      <c r="A32" s="4">
        <v>1.7E-5</v>
      </c>
      <c r="B32" s="17">
        <f t="shared" si="3"/>
        <v>3.4000289003364894E-7</v>
      </c>
      <c r="C32" s="23">
        <v>2.7506240879999901</v>
      </c>
      <c r="D32" s="22" cm="1">
        <f t="array" ref="D32">IF(B32&gt;MAX(raw_hazard_data!$C$3:$C$27),raw_hazard_data!$B$3, IF(hazard_calcs!B32&lt;MIN(raw_hazard_data!$C$3:$C$27),raw_hazard_data!$B$27, LinearInterpolate(hazard_calcs!B32,raw_hazard_data!$C$3:$C$27,raw_hazard_data!$B$3:$B$27)))</f>
        <v>5</v>
      </c>
      <c r="E32" s="22" cm="1">
        <f t="array" ref="E32">IF(B32&gt;MAX(raw_hazard_data!$F$3:$F$27),raw_hazard_data!$E$3, IF(hazard_calcs!B32&lt;MIN(raw_hazard_data!$F$3:$F$27),raw_hazard_data!$E$27, LinearInterpolate(hazard_calcs!B32,raw_hazard_data!$F$3:$F$27,raw_hazard_data!$E$3:$E$27)))</f>
        <v>5</v>
      </c>
      <c r="F32" s="22" cm="1">
        <f t="array" ref="F32">IF(B32&gt;MAX(raw_hazard_data!$I$3:$I$27),raw_hazard_data!$H$3, IF(hazard_calcs!B32&lt;MIN(raw_hazard_data!$I$3:$I$27),raw_hazard_data!$H$27, LinearInterpolate(hazard_calcs!B32,raw_hazard_data!$I$3:$I$27,raw_hazard_data!$H$3:$H$27)))</f>
        <v>5</v>
      </c>
      <c r="G32" s="22" cm="1">
        <f t="array" ref="G32">IF(B32&gt;MAX(raw_hazard_data!$L$3:$L$27),raw_hazard_data!$K$3, IF(hazard_calcs!B32&lt;MIN(raw_hazard_data!$L$3:$L$27),raw_hazard_data!$K$27, LinearInterpolate(hazard_calcs!B32,raw_hazard_data!$L$3:$L$27,raw_hazard_data!$K$3:$K$27)))</f>
        <v>1.3425850686988936</v>
      </c>
      <c r="H32" s="22">
        <f t="shared" si="0"/>
        <v>5</v>
      </c>
      <c r="I32" s="22">
        <f>1.6*(1-0.2*H32)</f>
        <v>0</v>
      </c>
      <c r="J32" s="22">
        <f t="shared" si="5"/>
        <v>1.3736163025977632</v>
      </c>
      <c r="K32" s="24" t="e">
        <f>(J32*G32)/(I32*H32)</f>
        <v>#DIV/0!</v>
      </c>
      <c r="L32" s="22" t="e">
        <f t="shared" si="7"/>
        <v>#DIV/0!</v>
      </c>
      <c r="M32" s="22">
        <f t="shared" si="8"/>
        <v>0.51510611347416113</v>
      </c>
      <c r="N32" s="22">
        <f t="shared" si="9"/>
        <v>1.4168632835980839</v>
      </c>
      <c r="O32" s="22">
        <f t="shared" si="1"/>
        <v>1.1069271750992376E-5</v>
      </c>
      <c r="P32" s="22">
        <f t="shared" si="2"/>
        <v>4.1720581944683601E-6</v>
      </c>
    </row>
    <row r="33" spans="1:16" x14ac:dyDescent="0.25">
      <c r="A33" s="4">
        <v>9.9999999999999995E-7</v>
      </c>
      <c r="B33" s="17">
        <f t="shared" si="3"/>
        <v>2.0000010000581783E-8</v>
      </c>
      <c r="C33" s="23">
        <v>4</v>
      </c>
      <c r="D33" s="22" cm="1">
        <f t="array" ref="D33">IF(B33&gt;MAX(raw_hazard_data!$C$3:$C$27),raw_hazard_data!$B$3, IF(hazard_calcs!B33&lt;MIN(raw_hazard_data!$C$3:$C$27),raw_hazard_data!$B$27, LinearInterpolate(hazard_calcs!B33,raw_hazard_data!$C$3:$C$27,raw_hazard_data!$B$3:$B$27)))</f>
        <v>5</v>
      </c>
      <c r="E33" s="22" cm="1">
        <f t="array" ref="E33">IF(B33&gt;MAX(raw_hazard_data!$F$3:$F$27),raw_hazard_data!$E$3, IF(hazard_calcs!B33&lt;MIN(raw_hazard_data!$F$3:$F$27),raw_hazard_data!$E$27, LinearInterpolate(hazard_calcs!B33,raw_hazard_data!$F$3:$F$27,raw_hazard_data!$E$3:$E$27)))</f>
        <v>5</v>
      </c>
      <c r="F33" s="22" cm="1">
        <f t="array" ref="F33">IF(B33&gt;MAX(raw_hazard_data!$I$3:$I$27),raw_hazard_data!$H$3, IF(hazard_calcs!B33&lt;MIN(raw_hazard_data!$I$3:$I$27),raw_hazard_data!$H$27, LinearInterpolate(hazard_calcs!B33,raw_hazard_data!$I$3:$I$27,raw_hazard_data!$H$3:$H$27)))</f>
        <v>5</v>
      </c>
      <c r="G33" s="22" cm="1">
        <f t="array" ref="G33">IF(B33&gt;MAX(raw_hazard_data!$L$3:$L$27),raw_hazard_data!$K$3, IF(hazard_calcs!B33&lt;MIN(raw_hazard_data!$L$3:$L$27),raw_hazard_data!$K$27, LinearInterpolate(hazard_calcs!B33,raw_hazard_data!$L$3:$L$27,raw_hazard_data!$K$3:$K$27)))</f>
        <v>2.0198296785724241</v>
      </c>
      <c r="H33" s="22">
        <f t="shared" si="0"/>
        <v>5</v>
      </c>
      <c r="I33" s="22">
        <f t="shared" si="4"/>
        <v>0</v>
      </c>
      <c r="J33" s="22">
        <f t="shared" si="5"/>
        <v>0.90631752178502722</v>
      </c>
      <c r="K33" s="24" t="e">
        <f t="shared" si="6"/>
        <v>#DIV/0!</v>
      </c>
      <c r="L33" s="22" t="e">
        <f t="shared" si="7"/>
        <v>#DIV/0!</v>
      </c>
      <c r="M33" s="22">
        <f t="shared" si="8"/>
        <v>0.33986907066938521</v>
      </c>
      <c r="N33" s="22">
        <f t="shared" si="9"/>
        <v>1.3594762826775408</v>
      </c>
      <c r="O33" s="22">
        <f t="shared" si="1"/>
        <v>5.7120274836633856E-6</v>
      </c>
      <c r="P33" s="22">
        <f t="shared" si="2"/>
        <v>1.4814999495605485E-6</v>
      </c>
    </row>
  </sheetData>
  <pageMargins left="0.7" right="0.7" top="0.78740157499999996" bottom="0.78740157499999996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E921A-9125-4DE7-A71D-8A29A24ED3D4}">
  <sheetPr codeName="Tabelle2"/>
  <dimension ref="B2:L27"/>
  <sheetViews>
    <sheetView workbookViewId="0">
      <selection activeCell="N18" sqref="N18"/>
    </sheetView>
  </sheetViews>
  <sheetFormatPr baseColWidth="10" defaultRowHeight="15" x14ac:dyDescent="0.25"/>
  <cols>
    <col min="1" max="1" width="3" customWidth="1"/>
  </cols>
  <sheetData>
    <row r="2" spans="2:12" x14ac:dyDescent="0.25">
      <c r="B2" s="21" t="s">
        <v>33</v>
      </c>
      <c r="C2" s="21" t="s">
        <v>5</v>
      </c>
      <c r="E2" s="21" t="s">
        <v>34</v>
      </c>
      <c r="F2" s="21" t="s">
        <v>5</v>
      </c>
      <c r="H2" s="21" t="s">
        <v>35</v>
      </c>
      <c r="I2" s="21" t="s">
        <v>5</v>
      </c>
      <c r="K2" s="21" t="s">
        <v>38</v>
      </c>
      <c r="L2" s="21" t="s">
        <v>5</v>
      </c>
    </row>
    <row r="3" spans="2:12" x14ac:dyDescent="0.25">
      <c r="B3" s="1">
        <v>5.0000000000000001E-4</v>
      </c>
      <c r="C3" s="1">
        <v>0.162101670811786</v>
      </c>
      <c r="E3" s="1">
        <v>5.0000000000000001E-4</v>
      </c>
      <c r="F3" s="1">
        <v>0.17623128504038199</v>
      </c>
      <c r="H3" s="1">
        <v>5.0000000000000001E-4</v>
      </c>
      <c r="I3" s="1">
        <v>0.185023247329931</v>
      </c>
      <c r="K3" s="1">
        <v>5.0000000000000001E-4</v>
      </c>
      <c r="L3" s="1">
        <v>0.119284771217087</v>
      </c>
    </row>
    <row r="4" spans="2:12" x14ac:dyDescent="0.25">
      <c r="B4" s="1">
        <v>7.33899599999999E-4</v>
      </c>
      <c r="C4" s="1">
        <v>0.14434003058699399</v>
      </c>
      <c r="E4" s="1">
        <v>7.33899599999999E-4</v>
      </c>
      <c r="F4" s="1">
        <v>0.15898085002061599</v>
      </c>
      <c r="H4" s="1">
        <v>7.33899599999999E-4</v>
      </c>
      <c r="I4" s="1">
        <v>0.168346957128927</v>
      </c>
      <c r="K4" s="1">
        <v>7.1844400000000005E-4</v>
      </c>
      <c r="L4" s="1">
        <v>0.10018472546365</v>
      </c>
    </row>
    <row r="5" spans="2:12" x14ac:dyDescent="0.25">
      <c r="B5" s="1">
        <v>1.0772170000000001E-3</v>
      </c>
      <c r="C5" s="1">
        <v>0.12661160549349099</v>
      </c>
      <c r="E5" s="1">
        <v>1.0772170000000001E-3</v>
      </c>
      <c r="F5" s="1">
        <v>0.140825733432134</v>
      </c>
      <c r="H5" s="1">
        <v>1.0772170000000001E-3</v>
      </c>
      <c r="I5" s="1">
        <v>0.14996691742433699</v>
      </c>
      <c r="K5" s="1">
        <v>1.032324E-3</v>
      </c>
      <c r="L5" s="1">
        <v>8.2767182952830406E-2</v>
      </c>
    </row>
    <row r="6" spans="2:12" x14ac:dyDescent="0.25">
      <c r="B6" s="1">
        <v>1.5811390000000001E-3</v>
      </c>
      <c r="C6" s="1">
        <v>0.10951541583890199</v>
      </c>
      <c r="E6" s="1">
        <v>1.5811390000000001E-3</v>
      </c>
      <c r="F6" s="1">
        <v>0.118914533108682</v>
      </c>
      <c r="H6" s="1">
        <v>1.5811390000000001E-3</v>
      </c>
      <c r="I6" s="1">
        <v>0.13101560760068701</v>
      </c>
      <c r="K6" s="1">
        <v>1.48333399999999E-3</v>
      </c>
      <c r="L6" s="1">
        <v>6.7320852311755594E-2</v>
      </c>
    </row>
    <row r="7" spans="2:12" x14ac:dyDescent="0.25">
      <c r="B7" s="1">
        <v>2.3207940000000002E-3</v>
      </c>
      <c r="C7" s="1">
        <v>9.3445439790576498E-2</v>
      </c>
      <c r="E7" s="1">
        <v>2.3207940000000002E-3</v>
      </c>
      <c r="F7" s="1">
        <v>0.105309260593541</v>
      </c>
      <c r="H7" s="1">
        <v>2.3207940000000002E-3</v>
      </c>
      <c r="I7" s="1">
        <v>0.11239801981351</v>
      </c>
      <c r="K7" s="1">
        <v>2.13138499999999E-3</v>
      </c>
      <c r="L7" s="1">
        <v>5.3881762521723102E-2</v>
      </c>
    </row>
    <row r="8" spans="2:12" x14ac:dyDescent="0.25">
      <c r="B8" s="1">
        <v>3.40646E-3</v>
      </c>
      <c r="C8" s="1">
        <v>7.8677194000746298E-2</v>
      </c>
      <c r="E8" s="1">
        <v>3.40646E-3</v>
      </c>
      <c r="F8" s="1">
        <v>8.8997546031641006E-2</v>
      </c>
      <c r="H8" s="1">
        <v>3.40646E-3</v>
      </c>
      <c r="I8" s="1">
        <v>9.47580379688409E-2</v>
      </c>
      <c r="K8" s="1">
        <v>3.062562E-3</v>
      </c>
      <c r="L8" s="1">
        <v>4.2336389475950698E-2</v>
      </c>
    </row>
    <row r="9" spans="2:12" x14ac:dyDescent="0.25">
      <c r="B9" s="1">
        <v>5.0000000000000001E-3</v>
      </c>
      <c r="C9" s="1">
        <v>6.5370251946185995E-2</v>
      </c>
      <c r="E9" s="1">
        <v>5.0000000000000001E-3</v>
      </c>
      <c r="F9" s="1">
        <v>7.4087172819247898E-2</v>
      </c>
      <c r="H9" s="1">
        <v>5.0000000000000001E-3</v>
      </c>
      <c r="I9" s="1">
        <v>7.8522438596152905E-2</v>
      </c>
      <c r="K9" s="1">
        <v>4.4005590000000001E-3</v>
      </c>
      <c r="L9" s="1">
        <v>3.2513073604179002E-2</v>
      </c>
    </row>
    <row r="10" spans="2:12" x14ac:dyDescent="0.25">
      <c r="B10" s="1">
        <v>7.3389960000000004E-3</v>
      </c>
      <c r="C10" s="1">
        <v>5.3594211767443799E-2</v>
      </c>
      <c r="E10" s="1">
        <v>7.3389960000000004E-3</v>
      </c>
      <c r="F10" s="1">
        <v>6.0746507973047002E-2</v>
      </c>
      <c r="H10" s="1">
        <v>7.3389960000000004E-3</v>
      </c>
      <c r="I10" s="1">
        <v>6.39603966197764E-2</v>
      </c>
      <c r="K10" s="1">
        <v>6.3231110000000002E-3</v>
      </c>
      <c r="L10" s="1">
        <v>2.4259194654672699E-2</v>
      </c>
    </row>
    <row r="11" spans="2:12" x14ac:dyDescent="0.25">
      <c r="B11" s="1">
        <v>1.0772172999999901E-2</v>
      </c>
      <c r="C11" s="1">
        <v>4.3354266980836602E-2</v>
      </c>
      <c r="E11" s="1">
        <v>1.0772172999999901E-2</v>
      </c>
      <c r="F11" s="1">
        <v>4.9044220498997697E-2</v>
      </c>
      <c r="H11" s="1">
        <v>1.0772172999999901E-2</v>
      </c>
      <c r="I11" s="1">
        <v>5.1198898013413499E-2</v>
      </c>
      <c r="K11" s="1">
        <v>9.0856029999999907E-3</v>
      </c>
      <c r="L11" s="1">
        <v>1.74773683709477E-2</v>
      </c>
    </row>
    <row r="12" spans="2:12" x14ac:dyDescent="0.25">
      <c r="B12" s="1">
        <v>1.5811387999999899E-2</v>
      </c>
      <c r="C12" s="1">
        <v>3.4601287235247101E-2</v>
      </c>
      <c r="E12" s="1">
        <v>1.5811387999999899E-2</v>
      </c>
      <c r="F12" s="1">
        <v>3.8972616935983501E-2</v>
      </c>
      <c r="H12" s="1">
        <v>1.5811387999999899E-2</v>
      </c>
      <c r="I12" s="1">
        <v>4.0256753097581303E-2</v>
      </c>
      <c r="K12" s="1">
        <v>1.3054994999999899E-2</v>
      </c>
      <c r="L12" s="1">
        <v>1.2105913131852801E-2</v>
      </c>
    </row>
    <row r="13" spans="2:12" x14ac:dyDescent="0.25">
      <c r="B13" s="1">
        <v>2.3207944000000001E-2</v>
      </c>
      <c r="C13" s="1">
        <v>2.7248275709187E-2</v>
      </c>
      <c r="E13" s="1">
        <v>2.3207944000000001E-2</v>
      </c>
      <c r="F13" s="1">
        <v>3.04697002419991E-2</v>
      </c>
      <c r="H13" s="1">
        <v>2.3207944000000001E-2</v>
      </c>
      <c r="I13" s="1">
        <v>3.1072969815841098E-2</v>
      </c>
      <c r="K13" s="1">
        <v>1.8758567999999899E-2</v>
      </c>
      <c r="L13" s="1">
        <v>8.0576389468515093E-3</v>
      </c>
    </row>
    <row r="14" spans="2:12" x14ac:dyDescent="0.25">
      <c r="B14" s="1">
        <v>3.40646E-2</v>
      </c>
      <c r="C14" s="1">
        <v>2.11709155891005E-2</v>
      </c>
      <c r="E14" s="1">
        <v>3.40646E-2</v>
      </c>
      <c r="F14" s="1">
        <v>2.3424949994264602E-2</v>
      </c>
      <c r="H14" s="1">
        <v>3.40646E-2</v>
      </c>
      <c r="I14" s="1">
        <v>2.35286443708718E-2</v>
      </c>
      <c r="K14" s="1">
        <v>2.6953964999999899E-2</v>
      </c>
      <c r="L14" s="1">
        <v>5.1722024018799303E-3</v>
      </c>
    </row>
    <row r="15" spans="2:12" x14ac:dyDescent="0.25">
      <c r="B15" s="1">
        <v>0.05</v>
      </c>
      <c r="C15" s="1">
        <v>1.6212910134998301E-2</v>
      </c>
      <c r="E15" s="1">
        <v>0.05</v>
      </c>
      <c r="F15" s="1">
        <v>1.7691578184789399E-2</v>
      </c>
      <c r="H15" s="1">
        <v>0.05</v>
      </c>
      <c r="I15" s="1">
        <v>1.7460458615574902E-2</v>
      </c>
      <c r="K15" s="1">
        <v>3.8729832999999901E-2</v>
      </c>
      <c r="L15" s="1">
        <v>3.21878003541106E-3</v>
      </c>
    </row>
    <row r="16" spans="2:12" x14ac:dyDescent="0.25">
      <c r="B16" s="1">
        <v>7.3389960000000004E-2</v>
      </c>
      <c r="C16" s="1">
        <v>1.2195836239303299E-2</v>
      </c>
      <c r="E16" s="1">
        <v>7.3389960000000004E-2</v>
      </c>
      <c r="F16" s="1">
        <v>1.3090571434240099E-2</v>
      </c>
      <c r="H16" s="1">
        <v>7.3389960000000004E-2</v>
      </c>
      <c r="I16" s="1">
        <v>1.26673241726733E-2</v>
      </c>
      <c r="K16" s="1">
        <v>5.5650439000000003E-2</v>
      </c>
      <c r="L16" s="1">
        <v>1.9447166536861299E-3</v>
      </c>
    </row>
    <row r="17" spans="2:12" x14ac:dyDescent="0.25">
      <c r="B17" s="1">
        <v>0.10772173</v>
      </c>
      <c r="C17" s="1">
        <v>8.9449074824784602E-3</v>
      </c>
      <c r="E17" s="1">
        <v>0.10772173</v>
      </c>
      <c r="F17" s="1">
        <v>9.4323866758729193E-3</v>
      </c>
      <c r="H17" s="1">
        <v>0.10772173</v>
      </c>
      <c r="I17" s="1">
        <v>8.9310552582597593E-3</v>
      </c>
      <c r="K17" s="1">
        <v>7.9963458000000001E-2</v>
      </c>
      <c r="L17" s="1">
        <v>1.13214778422638E-3</v>
      </c>
    </row>
    <row r="18" spans="2:12" x14ac:dyDescent="0.25">
      <c r="B18" s="1">
        <v>0.15811388300000001</v>
      </c>
      <c r="C18" s="1">
        <v>6.3227009269386297E-3</v>
      </c>
      <c r="E18" s="1">
        <v>0.15811388300000001</v>
      </c>
      <c r="F18" s="1">
        <v>6.5500635827705498E-3</v>
      </c>
      <c r="H18" s="1">
        <v>0.15811388300000001</v>
      </c>
      <c r="I18" s="1">
        <v>6.0541545533757896E-3</v>
      </c>
      <c r="K18" s="1">
        <v>0.114898547</v>
      </c>
      <c r="L18" s="1">
        <v>6.2411755852585403E-4</v>
      </c>
    </row>
    <row r="19" spans="2:12" x14ac:dyDescent="0.25">
      <c r="B19" s="1">
        <v>0.232079441999999</v>
      </c>
      <c r="C19" s="1">
        <v>4.2436518540698602E-3</v>
      </c>
      <c r="E19" s="1">
        <v>0.232079441999999</v>
      </c>
      <c r="F19" s="1">
        <v>4.3226884549431698E-3</v>
      </c>
      <c r="H19" s="1">
        <v>0.232079441999999</v>
      </c>
      <c r="I19" s="1">
        <v>3.88837669378918E-3</v>
      </c>
      <c r="K19" s="1">
        <v>0.165096361999999</v>
      </c>
      <c r="L19" s="1">
        <v>3.1777114543865797E-4</v>
      </c>
    </row>
    <row r="20" spans="2:12" x14ac:dyDescent="0.25">
      <c r="B20" s="1">
        <v>0.34064603500000001</v>
      </c>
      <c r="C20" s="1">
        <v>2.66233243022195E-3</v>
      </c>
      <c r="E20" s="1">
        <v>0.34064603500000001</v>
      </c>
      <c r="F20" s="1">
        <v>2.6689364954382501E-3</v>
      </c>
      <c r="H20" s="1">
        <v>0.34064603500000001</v>
      </c>
      <c r="I20" s="1">
        <v>2.3274631001071601E-3</v>
      </c>
      <c r="K20" s="1">
        <v>0.23722500999999899</v>
      </c>
      <c r="L20" s="1">
        <v>1.4522599081457499E-4</v>
      </c>
    </row>
    <row r="21" spans="2:12" x14ac:dyDescent="0.25">
      <c r="B21" s="1">
        <v>0.5</v>
      </c>
      <c r="C21" s="1">
        <v>1.5366057936894301E-3</v>
      </c>
      <c r="E21" s="1">
        <v>0.5</v>
      </c>
      <c r="F21" s="1">
        <v>1.51713462221914E-3</v>
      </c>
      <c r="H21" s="1">
        <v>0.5</v>
      </c>
      <c r="I21" s="1">
        <v>1.2766101034674101E-3</v>
      </c>
      <c r="K21" s="1">
        <v>0.34086580999999899</v>
      </c>
      <c r="L21" s="1">
        <v>5.7823508454666098E-5</v>
      </c>
    </row>
    <row r="22" spans="2:12" x14ac:dyDescent="0.25">
      <c r="B22" s="1">
        <v>0.73389959999999899</v>
      </c>
      <c r="C22" s="1">
        <v>8.0436020577583697E-4</v>
      </c>
      <c r="E22" s="1">
        <v>0.73389959999999899</v>
      </c>
      <c r="F22" s="1">
        <v>7.8194881503272E-4</v>
      </c>
      <c r="H22" s="1">
        <v>0.73389959999999899</v>
      </c>
      <c r="I22" s="1">
        <v>6.30453186943673E-4</v>
      </c>
      <c r="K22" s="1">
        <v>0.489786049</v>
      </c>
      <c r="L22" s="1">
        <v>1.93893956800996E-5</v>
      </c>
    </row>
    <row r="23" spans="2:12" x14ac:dyDescent="0.25">
      <c r="B23" s="1">
        <v>1.07721734499999</v>
      </c>
      <c r="C23" s="1">
        <v>3.7586993279674997E-4</v>
      </c>
      <c r="E23" s="1">
        <v>1.07721734499999</v>
      </c>
      <c r="F23" s="1">
        <v>3.5926759498806601E-4</v>
      </c>
      <c r="H23" s="1">
        <v>1.07721734499999</v>
      </c>
      <c r="I23" s="1">
        <v>2.7467758909284598E-4</v>
      </c>
      <c r="K23" s="1">
        <v>0.70376777899999898</v>
      </c>
      <c r="L23" s="1">
        <v>5.22068132855286E-6</v>
      </c>
    </row>
    <row r="24" spans="2:12" x14ac:dyDescent="0.25">
      <c r="B24" s="1">
        <v>1.58113882999999</v>
      </c>
      <c r="C24" s="1">
        <v>1.54333945420119E-4</v>
      </c>
      <c r="E24" s="1">
        <v>1.58113882999999</v>
      </c>
      <c r="F24" s="1">
        <v>1.4456119196401299E-4</v>
      </c>
      <c r="H24" s="1">
        <v>1.58113882999999</v>
      </c>
      <c r="I24" s="1">
        <v>1.03165621724215E-4</v>
      </c>
      <c r="K24" s="1">
        <v>1.0112355959999899</v>
      </c>
      <c r="L24" s="1">
        <v>1.00002500083325E-6</v>
      </c>
    </row>
    <row r="25" spans="2:12" x14ac:dyDescent="0.25">
      <c r="B25" s="1">
        <v>2.3207944170000001</v>
      </c>
      <c r="C25" s="1">
        <v>5.4815048660067298E-5</v>
      </c>
      <c r="E25" s="1">
        <v>2.3207944170000001</v>
      </c>
      <c r="F25" s="1">
        <v>4.9902204003073898E-5</v>
      </c>
      <c r="H25" s="1">
        <v>2.3207944170000001</v>
      </c>
      <c r="I25" s="1">
        <v>3.2506402348813998E-5</v>
      </c>
      <c r="K25" s="1">
        <v>1.45303246299999</v>
      </c>
      <c r="L25" s="1">
        <v>1.2000036000044901E-7</v>
      </c>
    </row>
    <row r="26" spans="2:12" x14ac:dyDescent="0.25">
      <c r="B26" s="1">
        <v>3.4064603450000002</v>
      </c>
      <c r="C26" s="1">
        <v>1.63266621844756E-5</v>
      </c>
      <c r="E26" s="1">
        <v>3.4064603450000002</v>
      </c>
      <c r="F26" s="1">
        <v>1.4365157708971E-5</v>
      </c>
      <c r="H26" s="1">
        <v>3.4064603450000002</v>
      </c>
      <c r="I26" s="1">
        <v>8.2216896729872595E-6</v>
      </c>
      <c r="K26" s="1">
        <v>2.087845154</v>
      </c>
      <c r="L26" s="1">
        <v>8.0000016002304701E-9</v>
      </c>
    </row>
    <row r="27" spans="2:12" x14ac:dyDescent="0.25">
      <c r="B27" s="1">
        <v>5</v>
      </c>
      <c r="C27" s="1">
        <v>4.0604121457770702E-6</v>
      </c>
      <c r="E27" s="1">
        <v>5</v>
      </c>
      <c r="F27" s="1">
        <v>3.32027559049909E-6</v>
      </c>
      <c r="H27" s="1">
        <v>5</v>
      </c>
      <c r="I27" s="1">
        <v>1.52005776292597E-6</v>
      </c>
      <c r="K27" s="1">
        <v>3</v>
      </c>
      <c r="L27" s="1">
        <v>3.0000000264720399E-10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hazard_calcs</vt:lpstr>
      <vt:lpstr>raw_hazard_data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Aaron Clemett</dc:creator>
  <cp:lastModifiedBy>Nicholas Aaron Clemett</cp:lastModifiedBy>
  <dcterms:created xsi:type="dcterms:W3CDTF">2025-08-11T13:30:40Z</dcterms:created>
  <dcterms:modified xsi:type="dcterms:W3CDTF">2025-08-18T09:41:32Z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d2079b-6d85-4185-8122-5cca51dad164_Enabled">
    <vt:lpwstr>true</vt:lpwstr>
  </property>
  <property fmtid="{D5CDD505-2E9C-101B-9397-08002B2CF9AE}" pid="3" name="MSIP_Label_8fd2079b-6d85-4185-8122-5cca51dad164_SetDate">
    <vt:lpwstr>2025-08-11T13:48:41Z</vt:lpwstr>
  </property>
  <property fmtid="{D5CDD505-2E9C-101B-9397-08002B2CF9AE}" pid="4" name="MSIP_Label_8fd2079b-6d85-4185-8122-5cca51dad164_Method">
    <vt:lpwstr>Standard</vt:lpwstr>
  </property>
  <property fmtid="{D5CDD505-2E9C-101B-9397-08002B2CF9AE}" pid="5" name="MSIP_Label_8fd2079b-6d85-4185-8122-5cca51dad164_Name">
    <vt:lpwstr>Öffentlich</vt:lpwstr>
  </property>
  <property fmtid="{D5CDD505-2E9C-101B-9397-08002B2CF9AE}" pid="6" name="MSIP_Label_8fd2079b-6d85-4185-8122-5cca51dad164_SiteId">
    <vt:lpwstr>5832f73f-b0fa-45a0-80d9-7e32bd7fa822</vt:lpwstr>
  </property>
  <property fmtid="{D5CDD505-2E9C-101B-9397-08002B2CF9AE}" pid="7" name="MSIP_Label_8fd2079b-6d85-4185-8122-5cca51dad164_ActionId">
    <vt:lpwstr>416a1ac9-3d47-48a5-855e-7104c0707b10</vt:lpwstr>
  </property>
  <property fmtid="{D5CDD505-2E9C-101B-9397-08002B2CF9AE}" pid="8" name="MSIP_Label_8fd2079b-6d85-4185-8122-5cca51dad164_ContentBits">
    <vt:lpwstr>0</vt:lpwstr>
  </property>
  <property fmtid="{D5CDD505-2E9C-101B-9397-08002B2CF9AE}" pid="9" name="MSIP_Label_8fd2079b-6d85-4185-8122-5cca51dad164_Tag">
    <vt:lpwstr>10, 3, 0, 1</vt:lpwstr>
  </property>
</Properties>
</file>