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hsuhhde-my.sharepoint.com/personal/clemettn_hsu_hamburg/Documents/01_arbeit/14_PhD/other/Berechnungen/calculation_examples/risk-based-design-force/"/>
    </mc:Choice>
  </mc:AlternateContent>
  <xr:revisionPtr revIDLastSave="74" documentId="13_ncr:1_{F67CF0C3-49A3-4961-B773-0D7E2115AAAC}" xr6:coauthVersionLast="47" xr6:coauthVersionMax="47" xr10:uidLastSave="{E4E63047-48FA-4959-8A9A-336B168B41C2}"/>
  <bookViews>
    <workbookView xWindow="25490" yWindow="-110" windowWidth="19420" windowHeight="11500" xr2:uid="{DFDEEC12-6DEB-4306-8DC5-CE28CECC2D3D}"/>
  </bookViews>
  <sheets>
    <sheet name="risk_based_force_calcs" sheetId="1" r:id="rId1"/>
    <sheet name="ec8_force_calcs" sheetId="2" r:id="rId2"/>
    <sheet name="hazard_calcs" sheetId="3" r:id="rId3"/>
    <sheet name="raw_hazard_data" sheetId="4" r:id="rId4"/>
  </sheets>
  <functionGroups builtInGroupCount="19"/>
  <definedNames>
    <definedName name="_xleta.IF" hidden="1" xlm="1">#NAME?</definedName>
    <definedName name="T">ec8_force_calcs!$C$31</definedName>
    <definedName name="TA">ec8_force_calcs!$C$17</definedName>
    <definedName name="TB">ec8_force_calcs!$C$18</definedName>
    <definedName name="TC">ec8_force_calcs!$C$19</definedName>
    <definedName name="TD">ec8_force_calcs!$C$20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6" i="1" l="1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C27" i="2"/>
  <c r="O14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M19" i="2"/>
  <c r="M18" i="2"/>
  <c r="C6" i="2"/>
  <c r="C5" i="2"/>
  <c r="H9" i="3"/>
  <c r="C12" i="2"/>
  <c r="O16" i="1"/>
  <c r="O17" i="1"/>
  <c r="O18" i="1"/>
  <c r="O19" i="1"/>
  <c r="M16" i="1"/>
  <c r="M17" i="1"/>
  <c r="M18" i="1" s="1"/>
  <c r="M19" i="1" s="1"/>
  <c r="G26" i="1" a="1"/>
  <c r="G26" i="1"/>
  <c r="F16" i="1"/>
  <c r="F17" i="1"/>
  <c r="F18" i="1"/>
  <c r="F19" i="1" s="1"/>
  <c r="D16" i="1"/>
  <c r="D17" i="1"/>
  <c r="D18" i="1" s="1"/>
  <c r="D19" i="1" s="1"/>
  <c r="H16" i="1"/>
  <c r="I16" i="1"/>
  <c r="J16" i="1"/>
  <c r="K16" i="1"/>
  <c r="L16" i="1"/>
  <c r="N16" i="1"/>
  <c r="H17" i="1"/>
  <c r="H18" i="1" s="1"/>
  <c r="H19" i="1" s="1"/>
  <c r="I17" i="1"/>
  <c r="I18" i="1" s="1"/>
  <c r="I19" i="1" s="1"/>
  <c r="J17" i="1"/>
  <c r="J18" i="1" s="1"/>
  <c r="J19" i="1" s="1"/>
  <c r="K17" i="1"/>
  <c r="K18" i="1" s="1"/>
  <c r="K19" i="1" s="1"/>
  <c r="L17" i="1"/>
  <c r="L18" i="1" s="1"/>
  <c r="L19" i="1" s="1"/>
  <c r="N17" i="1"/>
  <c r="N18" i="1" s="1"/>
  <c r="N19" i="1" s="1"/>
  <c r="G17" i="1"/>
  <c r="G18" i="1" s="1"/>
  <c r="G19" i="1" s="1"/>
  <c r="G16" i="1"/>
  <c r="S14" i="3"/>
  <c r="S19" i="3" s="1"/>
  <c r="S12" i="3"/>
  <c r="C36" i="1"/>
  <c r="C37" i="1"/>
  <c r="C35" i="1"/>
  <c r="E52" i="1"/>
  <c r="F52" i="1"/>
  <c r="D52" i="1"/>
  <c r="D48" i="1"/>
  <c r="D47" i="1"/>
  <c r="C31" i="1"/>
  <c r="C42" i="1"/>
  <c r="C60" i="1" s="1"/>
  <c r="C43" i="1"/>
  <c r="C61" i="1" s="1"/>
  <c r="C41" i="1"/>
  <c r="C59" i="1" s="1"/>
  <c r="D9" i="1"/>
  <c r="D8" i="1"/>
  <c r="F32" i="3" a="1"/>
  <c r="F32" i="3" s="1"/>
  <c r="E33" i="3" a="1"/>
  <c r="E33" i="3" s="1"/>
  <c r="D32" i="3" a="1"/>
  <c r="D32" i="3" s="1"/>
  <c r="D33" i="3" a="1"/>
  <c r="D33" i="3" s="1"/>
  <c r="E32" i="3" a="1"/>
  <c r="E32" i="3" s="1"/>
  <c r="E31" i="3" a="1"/>
  <c r="E31" i="3" s="1"/>
  <c r="D31" i="3" a="1"/>
  <c r="D31" i="3" s="1"/>
  <c r="F33" i="3" a="1"/>
  <c r="F33" i="3" s="1"/>
  <c r="G11" i="3" a="1"/>
  <c r="G11" i="3"/>
  <c r="D9" i="3" a="1"/>
  <c r="D9" i="3" s="1"/>
  <c r="G10" i="3" a="1"/>
  <c r="G10" i="3" s="1"/>
  <c r="G9" i="3" a="1"/>
  <c r="G9" i="3" s="1"/>
  <c r="J9" i="3" s="1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S17" i="3"/>
  <c r="B17" i="3"/>
  <c r="B16" i="3"/>
  <c r="B15" i="3"/>
  <c r="B14" i="3"/>
  <c r="S13" i="3"/>
  <c r="S18" i="3" s="1"/>
  <c r="B13" i="3"/>
  <c r="B12" i="3"/>
  <c r="J11" i="3"/>
  <c r="B11" i="3"/>
  <c r="B10" i="3"/>
  <c r="B9" i="3"/>
  <c r="S5" i="3"/>
  <c r="S4" i="3"/>
  <c r="G35" i="1" a="1"/>
  <c r="G36" i="1" a="1"/>
  <c r="G37" i="1" a="1"/>
  <c r="G27" i="1" a="1"/>
  <c r="G28" i="1" a="1"/>
  <c r="D28" i="3" a="1"/>
  <c r="G28" i="3" a="1"/>
  <c r="T12" i="3" a="1"/>
  <c r="E28" i="3" a="1"/>
  <c r="G13" i="3" a="1"/>
  <c r="D24" i="3" a="1"/>
  <c r="D20" i="3" a="1"/>
  <c r="F10" i="3" a="1"/>
  <c r="F31" i="3" a="1"/>
  <c r="G27" i="3" a="1"/>
  <c r="E15" i="3" a="1"/>
  <c r="D19" i="3" a="1"/>
  <c r="D15" i="3" a="1"/>
  <c r="F13" i="3" a="1"/>
  <c r="F25" i="3" a="1"/>
  <c r="G14" i="3" a="1"/>
  <c r="G30" i="3" a="1"/>
  <c r="E10" i="3" a="1"/>
  <c r="F29" i="3" a="1"/>
  <c r="D30" i="3" a="1"/>
  <c r="E27" i="3" a="1"/>
  <c r="E18" i="3" a="1"/>
  <c r="F21" i="3" a="1"/>
  <c r="E16" i="3" a="1"/>
  <c r="G17" i="3" a="1"/>
  <c r="D13" i="3" a="1"/>
  <c r="E9" i="3" a="1"/>
  <c r="F26" i="3" a="1"/>
  <c r="D17" i="3" a="1"/>
  <c r="G19" i="3" a="1"/>
  <c r="F30" i="3" a="1"/>
  <c r="E21" i="3" a="1"/>
  <c r="G29" i="3" a="1"/>
  <c r="E25" i="3" a="1"/>
  <c r="E14" i="3" a="1"/>
  <c r="E23" i="3" a="1"/>
  <c r="F15" i="3" a="1"/>
  <c r="G18" i="3" a="1"/>
  <c r="D10" i="3" a="1"/>
  <c r="F9" i="3" a="1"/>
  <c r="G33" i="3" a="1"/>
  <c r="E11" i="3" a="1"/>
  <c r="F19" i="3" a="1"/>
  <c r="D29" i="3" a="1"/>
  <c r="G32" i="3" a="1"/>
  <c r="D25" i="3" a="1"/>
  <c r="E24" i="3" a="1"/>
  <c r="E19" i="3" a="1"/>
  <c r="G22" i="3" a="1"/>
  <c r="F16" i="3" a="1"/>
  <c r="T14" i="3" a="1"/>
  <c r="G20" i="3" a="1"/>
  <c r="E13" i="3" a="1"/>
  <c r="E30" i="3" a="1"/>
  <c r="G12" i="3" a="1"/>
  <c r="E26" i="3" a="1"/>
  <c r="D12" i="3" a="1"/>
  <c r="E20" i="3" a="1"/>
  <c r="G31" i="3" a="1"/>
  <c r="D27" i="3" a="1"/>
  <c r="G24" i="3" a="1"/>
  <c r="G23" i="3" a="1"/>
  <c r="D21" i="3" a="1"/>
  <c r="E17" i="3" a="1"/>
  <c r="F12" i="3" a="1"/>
  <c r="G16" i="3" a="1"/>
  <c r="E29" i="3" a="1"/>
  <c r="D18" i="3" a="1"/>
  <c r="E12" i="3" a="1"/>
  <c r="D22" i="3" a="1"/>
  <c r="D16" i="3" a="1"/>
  <c r="F28" i="3" a="1"/>
  <c r="G25" i="3" a="1"/>
  <c r="F24" i="3" a="1"/>
  <c r="G21" i="3" a="1"/>
  <c r="F17" i="3" a="1"/>
  <c r="F22" i="3" a="1"/>
  <c r="G15" i="3" a="1"/>
  <c r="T5" i="3" a="1"/>
  <c r="G26" i="3" a="1"/>
  <c r="D14" i="3" a="1"/>
  <c r="F11" i="3" a="1"/>
  <c r="T13" i="3" a="1"/>
  <c r="D26" i="3" a="1"/>
  <c r="F23" i="3" a="1"/>
  <c r="F5" i="3" a="1"/>
  <c r="F18" i="3" a="1"/>
  <c r="F20" i="3" a="1"/>
  <c r="D11" i="3" a="1"/>
  <c r="F27" i="3" a="1"/>
  <c r="F14" i="3" a="1"/>
  <c r="E22" i="3" a="1"/>
  <c r="T4" i="3" a="1"/>
  <c r="D23" i="3" a="1"/>
  <c r="F6" i="3" a="1"/>
  <c r="F3" i="3" a="1"/>
  <c r="F4" i="3" a="1"/>
  <c r="F3" i="3" l="1"/>
  <c r="F4" i="3"/>
  <c r="H26" i="1"/>
  <c r="F6" i="3"/>
  <c r="D41" i="1"/>
  <c r="G37" i="1"/>
  <c r="H37" i="1" s="1"/>
  <c r="I37" i="1" s="1"/>
  <c r="G36" i="1"/>
  <c r="H36" i="1" s="1"/>
  <c r="I36" i="1" s="1"/>
  <c r="G35" i="1"/>
  <c r="H35" i="1" s="1"/>
  <c r="I35" i="1" s="1"/>
  <c r="D59" i="1"/>
  <c r="D61" i="1"/>
  <c r="D60" i="1"/>
  <c r="E17" i="1"/>
  <c r="D49" i="1"/>
  <c r="AD15" i="3" s="1"/>
  <c r="D43" i="1"/>
  <c r="G43" i="1" s="1"/>
  <c r="D42" i="1"/>
  <c r="G42" i="1" s="1"/>
  <c r="G28" i="1"/>
  <c r="G27" i="1"/>
  <c r="D23" i="3"/>
  <c r="T4" i="3"/>
  <c r="E22" i="3"/>
  <c r="F14" i="3"/>
  <c r="F27" i="3"/>
  <c r="D11" i="3"/>
  <c r="H11" i="3" s="1"/>
  <c r="I11" i="3" s="1"/>
  <c r="K11" i="3" s="1"/>
  <c r="L11" i="3" s="1"/>
  <c r="F20" i="3"/>
  <c r="F18" i="3"/>
  <c r="F5" i="3"/>
  <c r="F23" i="3"/>
  <c r="D26" i="3"/>
  <c r="H26" i="3" s="1"/>
  <c r="I26" i="3" s="1"/>
  <c r="T13" i="3"/>
  <c r="T18" i="3" s="1"/>
  <c r="F11" i="3"/>
  <c r="D14" i="3"/>
  <c r="G26" i="3"/>
  <c r="T5" i="3"/>
  <c r="G15" i="3"/>
  <c r="F22" i="3"/>
  <c r="F17" i="3"/>
  <c r="G21" i="3"/>
  <c r="F24" i="3"/>
  <c r="G25" i="3"/>
  <c r="J25" i="3" s="1"/>
  <c r="F28" i="3"/>
  <c r="D16" i="3"/>
  <c r="D22" i="3"/>
  <c r="E12" i="3"/>
  <c r="D18" i="3"/>
  <c r="E29" i="3"/>
  <c r="G16" i="3"/>
  <c r="F12" i="3"/>
  <c r="E17" i="3"/>
  <c r="D21" i="3"/>
  <c r="H21" i="3" s="1"/>
  <c r="I21" i="3" s="1"/>
  <c r="G23" i="3"/>
  <c r="J23" i="3" s="1"/>
  <c r="G24" i="3"/>
  <c r="J24" i="3" s="1"/>
  <c r="K24" i="3" s="1"/>
  <c r="L24" i="3" s="1"/>
  <c r="D27" i="3"/>
  <c r="G31" i="3"/>
  <c r="J31" i="3" s="1"/>
  <c r="E20" i="3"/>
  <c r="D12" i="3"/>
  <c r="E26" i="3"/>
  <c r="G12" i="3"/>
  <c r="E30" i="3"/>
  <c r="E13" i="3"/>
  <c r="G20" i="3"/>
  <c r="T14" i="3"/>
  <c r="T19" i="3" s="1"/>
  <c r="T22" i="3" s="1"/>
  <c r="F16" i="3"/>
  <c r="G22" i="3"/>
  <c r="J22" i="3" s="1"/>
  <c r="E19" i="3"/>
  <c r="E24" i="3"/>
  <c r="D25" i="3"/>
  <c r="G32" i="3"/>
  <c r="D29" i="3"/>
  <c r="F19" i="3"/>
  <c r="E11" i="3"/>
  <c r="G33" i="3"/>
  <c r="J33" i="3" s="1"/>
  <c r="F9" i="3"/>
  <c r="D10" i="3"/>
  <c r="H10" i="3" s="1"/>
  <c r="I10" i="3" s="1"/>
  <c r="G18" i="3"/>
  <c r="J18" i="3" s="1"/>
  <c r="F15" i="3"/>
  <c r="E23" i="3"/>
  <c r="E14" i="3"/>
  <c r="E25" i="3"/>
  <c r="G29" i="3"/>
  <c r="E21" i="3"/>
  <c r="F30" i="3"/>
  <c r="G19" i="3"/>
  <c r="D17" i="3"/>
  <c r="F26" i="3"/>
  <c r="E9" i="3"/>
  <c r="I9" i="3" s="1"/>
  <c r="M9" i="3" s="1"/>
  <c r="N9" i="3" s="1"/>
  <c r="D13" i="3"/>
  <c r="H13" i="3" s="1"/>
  <c r="I13" i="3" s="1"/>
  <c r="G17" i="3"/>
  <c r="J17" i="3" s="1"/>
  <c r="E16" i="3"/>
  <c r="F21" i="3"/>
  <c r="E18" i="3"/>
  <c r="E27" i="3"/>
  <c r="D30" i="3"/>
  <c r="F29" i="3"/>
  <c r="E10" i="3"/>
  <c r="G30" i="3"/>
  <c r="G14" i="3"/>
  <c r="J14" i="3" s="1"/>
  <c r="F25" i="3"/>
  <c r="F13" i="3"/>
  <c r="D15" i="3"/>
  <c r="D19" i="3"/>
  <c r="E15" i="3"/>
  <c r="G27" i="3"/>
  <c r="J27" i="3" s="1"/>
  <c r="F31" i="3"/>
  <c r="F10" i="3"/>
  <c r="D20" i="3"/>
  <c r="D24" i="3"/>
  <c r="H24" i="3" s="1"/>
  <c r="I24" i="3" s="1"/>
  <c r="G13" i="3"/>
  <c r="E28" i="3"/>
  <c r="T12" i="3"/>
  <c r="T17" i="3" s="1"/>
  <c r="G28" i="3"/>
  <c r="J28" i="3" s="1"/>
  <c r="D28" i="3"/>
  <c r="H28" i="3" s="1"/>
  <c r="I28" i="3" s="1"/>
  <c r="H16" i="3"/>
  <c r="I16" i="3" s="1"/>
  <c r="J29" i="3"/>
  <c r="J15" i="3"/>
  <c r="J20" i="3"/>
  <c r="H22" i="3"/>
  <c r="I22" i="3" s="1"/>
  <c r="J30" i="3"/>
  <c r="M11" i="3"/>
  <c r="N11" i="3" s="1"/>
  <c r="M24" i="3"/>
  <c r="N24" i="3" s="1"/>
  <c r="H25" i="3"/>
  <c r="I25" i="3" s="1"/>
  <c r="T8" i="3"/>
  <c r="T7" i="3" s="1"/>
  <c r="H19" i="3"/>
  <c r="I19" i="3" s="1"/>
  <c r="J19" i="3"/>
  <c r="H12" i="3"/>
  <c r="I12" i="3" s="1"/>
  <c r="J32" i="3"/>
  <c r="J10" i="3"/>
  <c r="J12" i="3"/>
  <c r="H33" i="3"/>
  <c r="I33" i="3" s="1"/>
  <c r="M33" i="3" s="1"/>
  <c r="N33" i="3" s="1"/>
  <c r="H31" i="3"/>
  <c r="I31" i="3" s="1"/>
  <c r="M31" i="3" s="1"/>
  <c r="N31" i="3" s="1"/>
  <c r="J26" i="3"/>
  <c r="J13" i="3"/>
  <c r="H15" i="3"/>
  <c r="I15" i="3" s="1"/>
  <c r="J16" i="3"/>
  <c r="H17" i="3"/>
  <c r="I17" i="3" s="1"/>
  <c r="H20" i="3"/>
  <c r="I20" i="3" s="1"/>
  <c r="M20" i="3" s="1"/>
  <c r="N20" i="3" s="1"/>
  <c r="J21" i="3"/>
  <c r="H29" i="3"/>
  <c r="I29" i="3" s="1"/>
  <c r="H27" i="3"/>
  <c r="I27" i="3" s="1"/>
  <c r="M27" i="3" s="1"/>
  <c r="N27" i="3" s="1"/>
  <c r="E41" i="1" a="1"/>
  <c r="E43" i="1" a="1"/>
  <c r="E42" i="1" a="1"/>
  <c r="T23" i="3" l="1"/>
  <c r="AD33" i="3"/>
  <c r="AD27" i="3"/>
  <c r="AD11" i="3"/>
  <c r="AD21" i="3"/>
  <c r="AD18" i="3"/>
  <c r="AD13" i="3"/>
  <c r="AD10" i="3"/>
  <c r="AD19" i="3"/>
  <c r="AD14" i="3"/>
  <c r="AD12" i="3"/>
  <c r="AD32" i="3"/>
  <c r="AD26" i="3"/>
  <c r="AD28" i="3"/>
  <c r="D53" i="1"/>
  <c r="D54" i="1" s="1"/>
  <c r="D55" i="1" s="1"/>
  <c r="AD20" i="3"/>
  <c r="AD22" i="3"/>
  <c r="F53" i="1"/>
  <c r="F54" i="1" s="1"/>
  <c r="F55" i="1" s="1"/>
  <c r="AD23" i="3"/>
  <c r="AD17" i="3"/>
  <c r="AD24" i="3"/>
  <c r="AD29" i="3"/>
  <c r="E59" i="1"/>
  <c r="F59" i="1" s="1"/>
  <c r="AD25" i="3"/>
  <c r="AD30" i="3"/>
  <c r="E61" i="1"/>
  <c r="F61" i="1" s="1"/>
  <c r="E53" i="1"/>
  <c r="E54" i="1" s="1"/>
  <c r="E55" i="1" s="1"/>
  <c r="AD31" i="3"/>
  <c r="E60" i="1"/>
  <c r="F60" i="1" s="1"/>
  <c r="AD16" i="3"/>
  <c r="AD9" i="3"/>
  <c r="E41" i="1"/>
  <c r="F41" i="1" s="1"/>
  <c r="G41" i="1"/>
  <c r="H41" i="1" s="1"/>
  <c r="H42" i="1"/>
  <c r="H43" i="1"/>
  <c r="E42" i="1"/>
  <c r="F42" i="1" s="1"/>
  <c r="E43" i="1"/>
  <c r="F43" i="1" s="1"/>
  <c r="K23" i="3"/>
  <c r="L23" i="3" s="1"/>
  <c r="K16" i="3"/>
  <c r="L16" i="3" s="1"/>
  <c r="K22" i="3"/>
  <c r="L22" i="3" s="1"/>
  <c r="T21" i="3"/>
  <c r="M17" i="3"/>
  <c r="N17" i="3" s="1"/>
  <c r="M30" i="3"/>
  <c r="N30" i="3" s="1"/>
  <c r="K21" i="3"/>
  <c r="L21" i="3" s="1"/>
  <c r="H30" i="3"/>
  <c r="I30" i="3" s="1"/>
  <c r="K30" i="3" s="1"/>
  <c r="L30" i="3" s="1"/>
  <c r="H18" i="3"/>
  <c r="I18" i="3" s="1"/>
  <c r="M18" i="3" s="1"/>
  <c r="N18" i="3" s="1"/>
  <c r="H14" i="3"/>
  <c r="I14" i="3" s="1"/>
  <c r="H23" i="3"/>
  <c r="I23" i="3" s="1"/>
  <c r="M15" i="3"/>
  <c r="N15" i="3" s="1"/>
  <c r="M29" i="3"/>
  <c r="N29" i="3" s="1"/>
  <c r="M23" i="3"/>
  <c r="N23" i="3" s="1"/>
  <c r="K28" i="3"/>
  <c r="L28" i="3" s="1"/>
  <c r="M22" i="3"/>
  <c r="N22" i="3" s="1"/>
  <c r="K13" i="3"/>
  <c r="L13" i="3" s="1"/>
  <c r="M25" i="3"/>
  <c r="N25" i="3" s="1"/>
  <c r="K26" i="3"/>
  <c r="L26" i="3" s="1"/>
  <c r="M12" i="3"/>
  <c r="N12" i="3" s="1"/>
  <c r="K9" i="3"/>
  <c r="L9" i="3" s="1"/>
  <c r="K10" i="3"/>
  <c r="L10" i="3" s="1"/>
  <c r="M16" i="3"/>
  <c r="N16" i="3" s="1"/>
  <c r="K20" i="3"/>
  <c r="L20" i="3" s="1"/>
  <c r="M19" i="3"/>
  <c r="N19" i="3" s="1"/>
  <c r="K15" i="3"/>
  <c r="L15" i="3" s="1"/>
  <c r="K33" i="3"/>
  <c r="L33" i="3" s="1"/>
  <c r="H32" i="3"/>
  <c r="I32" i="3" s="1"/>
  <c r="M32" i="3" s="1"/>
  <c r="N32" i="3" s="1"/>
  <c r="K19" i="3"/>
  <c r="L19" i="3" s="1"/>
  <c r="K25" i="3"/>
  <c r="L25" i="3" s="1"/>
  <c r="M26" i="3"/>
  <c r="N26" i="3" s="1"/>
  <c r="M21" i="3"/>
  <c r="N21" i="3" s="1"/>
  <c r="M28" i="3"/>
  <c r="N28" i="3" s="1"/>
  <c r="K27" i="3"/>
  <c r="L27" i="3" s="1"/>
  <c r="K29" i="3"/>
  <c r="L29" i="3" s="1"/>
  <c r="K31" i="3"/>
  <c r="L31" i="3" s="1"/>
  <c r="M10" i="3"/>
  <c r="N10" i="3" s="1"/>
  <c r="O26" i="3"/>
  <c r="O19" i="3"/>
  <c r="O33" i="3"/>
  <c r="O24" i="3"/>
  <c r="O14" i="3"/>
  <c r="O11" i="3"/>
  <c r="O9" i="3"/>
  <c r="O31" i="3"/>
  <c r="O22" i="3"/>
  <c r="O29" i="3"/>
  <c r="O27" i="3"/>
  <c r="O10" i="3"/>
  <c r="O23" i="3"/>
  <c r="O30" i="3"/>
  <c r="O21" i="3"/>
  <c r="O13" i="3"/>
  <c r="O32" i="3"/>
  <c r="O25" i="3"/>
  <c r="O12" i="3"/>
  <c r="O18" i="3"/>
  <c r="O28" i="3"/>
  <c r="O16" i="3"/>
  <c r="O20" i="3"/>
  <c r="O15" i="3"/>
  <c r="O17" i="3"/>
  <c r="K17" i="3"/>
  <c r="L17" i="3" s="1"/>
  <c r="K12" i="3"/>
  <c r="L12" i="3" s="1"/>
  <c r="M13" i="3"/>
  <c r="N13" i="3" s="1"/>
  <c r="T27" i="3" l="1"/>
  <c r="T31" i="3" s="1"/>
  <c r="K18" i="3"/>
  <c r="L18" i="3" s="1"/>
  <c r="M14" i="3"/>
  <c r="N14" i="3" s="1"/>
  <c r="K14" i="3"/>
  <c r="L14" i="3" s="1"/>
  <c r="T26" i="3"/>
  <c r="T30" i="3" s="1"/>
  <c r="T25" i="3"/>
  <c r="T29" i="3" s="1"/>
  <c r="K32" i="3"/>
  <c r="L32" i="3" s="1"/>
  <c r="P33" i="3" l="1"/>
  <c r="P24" i="3"/>
  <c r="P14" i="3"/>
  <c r="P11" i="3"/>
  <c r="P9" i="3"/>
  <c r="P31" i="3"/>
  <c r="P22" i="3"/>
  <c r="P29" i="3"/>
  <c r="P20" i="3"/>
  <c r="P17" i="3"/>
  <c r="P27" i="3"/>
  <c r="P21" i="3"/>
  <c r="P32" i="3"/>
  <c r="P25" i="3"/>
  <c r="P12" i="3"/>
  <c r="P10" i="3"/>
  <c r="P16" i="3"/>
  <c r="P13" i="3"/>
  <c r="P23" i="3"/>
  <c r="P18" i="3"/>
  <c r="P28" i="3"/>
  <c r="P30" i="3"/>
  <c r="P26" i="3"/>
  <c r="P15" i="3"/>
  <c r="P19" i="3"/>
  <c r="P16" i="1" l="1"/>
  <c r="P17" i="1"/>
  <c r="H27" i="1"/>
  <c r="I27" i="1" s="1"/>
  <c r="H28" i="1"/>
  <c r="I28" i="1" s="1"/>
  <c r="I26" i="1"/>
  <c r="G4" i="2"/>
  <c r="C29" i="2"/>
  <c r="C13" i="2"/>
  <c r="C19" i="2" s="1"/>
  <c r="C18" i="2" s="1"/>
  <c r="C32" i="2" s="1"/>
  <c r="C4" i="2"/>
  <c r="C20" i="2" s="1"/>
  <c r="C34" i="2" l="1"/>
  <c r="C30" i="1"/>
  <c r="D36" i="1"/>
  <c r="D37" i="1"/>
  <c r="E37" i="1" s="1"/>
  <c r="D35" i="1"/>
  <c r="C37" i="2"/>
  <c r="C38" i="2" s="1"/>
  <c r="P18" i="1"/>
  <c r="E18" i="1"/>
  <c r="C28" i="2"/>
  <c r="C35" i="2"/>
  <c r="C33" i="2"/>
  <c r="C23" i="1" l="1"/>
  <c r="E35" i="1" l="1"/>
  <c r="F35" i="1" s="1"/>
  <c r="F37" i="1"/>
  <c r="E36" i="1"/>
  <c r="F36" i="1" s="1"/>
  <c r="D27" i="1"/>
  <c r="E27" i="1" s="1"/>
  <c r="F27" i="1" s="1"/>
  <c r="D28" i="1"/>
  <c r="D26" i="1"/>
  <c r="E26" i="1" s="1"/>
  <c r="F26" i="1" s="1"/>
  <c r="E28" i="1" l="1"/>
  <c r="F28" i="1" s="1"/>
  <c r="P19" i="1"/>
  <c r="E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tc={1D517CA1-7958-40C0-9A87-78B8918D6B88}</author>
    <author>tc={B8607203-1D76-458B-8E2F-671AA35A75D4}</author>
    <author>tc={57F66C79-8603-4887-820B-B94AA7F911DA}</author>
  </authors>
  <commentList>
    <comment ref="K8" authorId="0" shapeId="0" xr:uid="{1D517CA1-7958-40C0-9A87-78B8918D6B88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Calculated according to then 2nd gen code</t>
      </text>
    </comment>
    <comment ref="L8" authorId="1" shapeId="0" xr:uid="{B8607203-1D76-458B-8E2F-671AA35A75D4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Linear interpolation between (Tc, Fa) and (Tb, Fb)</t>
      </text>
    </comment>
    <comment ref="M8" authorId="2" shapeId="0" xr:uid="{57F66C79-8603-4887-820B-B94AA7F911D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Linear interpolation between (T=0.2, Fa) and (T=1.0, Fb)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<sst xmlns="http://schemas.openxmlformats.org/spreadsheetml/2006/main" count="221" uniqueCount="143">
  <si>
    <t>ϐ</t>
  </si>
  <si>
    <r>
      <t>λ</t>
    </r>
    <r>
      <rPr>
        <vertAlign val="subscript"/>
        <sz val="11"/>
        <color theme="1"/>
        <rFont val="Aptos Narrow"/>
        <family val="2"/>
      </rPr>
      <t>ct</t>
    </r>
  </si>
  <si>
    <t>k0 [g]</t>
  </si>
  <si>
    <t>k1 [-]</t>
  </si>
  <si>
    <r>
      <t>θ</t>
    </r>
    <r>
      <rPr>
        <vertAlign val="subscript"/>
        <sz val="11"/>
        <color theme="1"/>
        <rFont val="Aptos Narrow"/>
        <family val="2"/>
      </rPr>
      <t>c</t>
    </r>
    <r>
      <rPr>
        <sz val="11"/>
        <color theme="1"/>
        <rFont val="Aptos Narrow"/>
        <family val="2"/>
      </rPr>
      <t xml:space="preserve">  [g]</t>
    </r>
  </si>
  <si>
    <t>Dispersion</t>
  </si>
  <si>
    <t>Target MAFC</t>
  </si>
  <si>
    <t>Required Median Capacity</t>
  </si>
  <si>
    <t>Design Baseshear Coeff.</t>
  </si>
  <si>
    <t>Design Baseshear Force</t>
  </si>
  <si>
    <t>Building Weight (Seismic)</t>
  </si>
  <si>
    <t>W</t>
  </si>
  <si>
    <t>kN</t>
  </si>
  <si>
    <r>
      <t>V</t>
    </r>
    <r>
      <rPr>
        <vertAlign val="subscript"/>
        <sz val="11"/>
        <color theme="1"/>
        <rFont val="Aptos Narrow"/>
        <family val="2"/>
      </rPr>
      <t>b</t>
    </r>
    <r>
      <rPr>
        <sz val="11"/>
        <color theme="1"/>
        <rFont val="Aptos Narrow"/>
        <family val="2"/>
      </rPr>
      <t xml:space="preserve"> [kN]</t>
    </r>
  </si>
  <si>
    <r>
      <t>C</t>
    </r>
    <r>
      <rPr>
        <vertAlign val="subscript"/>
        <sz val="11"/>
        <color theme="1"/>
        <rFont val="Aptos Narrow"/>
        <family val="2"/>
      </rPr>
      <t>s</t>
    </r>
    <r>
      <rPr>
        <vertAlign val="superscript"/>
        <sz val="11"/>
        <color theme="1"/>
        <rFont val="Aptos Narrow"/>
        <family val="2"/>
      </rPr>
      <t>*</t>
    </r>
    <r>
      <rPr>
        <sz val="11"/>
        <color theme="1"/>
        <rFont val="Aptos Narrow"/>
        <family val="2"/>
      </rPr>
      <t xml:space="preserve">  [-]</t>
    </r>
  </si>
  <si>
    <t>EC Baseshear</t>
  </si>
  <si>
    <t>Tailfingen, ESHM20, Mean, Rock</t>
  </si>
  <si>
    <t>Lat:</t>
  </si>
  <si>
    <t>48.257 N</t>
  </si>
  <si>
    <t>Lon:</t>
  </si>
  <si>
    <t>9.0166 E</t>
  </si>
  <si>
    <t>Soil:</t>
  </si>
  <si>
    <t>Curve:</t>
  </si>
  <si>
    <t>mean</t>
  </si>
  <si>
    <t>Rock</t>
  </si>
  <si>
    <t>Site</t>
  </si>
  <si>
    <t>1st. order slope</t>
  </si>
  <si>
    <t>1st. order intercept</t>
  </si>
  <si>
    <t>S_alpha_475</t>
  </si>
  <si>
    <t>g</t>
  </si>
  <si>
    <t>S_beta_475</t>
  </si>
  <si>
    <t>Soil Class</t>
  </si>
  <si>
    <t>A</t>
  </si>
  <si>
    <t>FT</t>
  </si>
  <si>
    <t>F_alpha</t>
  </si>
  <si>
    <t>F_beta</t>
  </si>
  <si>
    <t>q_design</t>
  </si>
  <si>
    <t>R_q</t>
  </si>
  <si>
    <t>Period:</t>
  </si>
  <si>
    <t>s</t>
  </si>
  <si>
    <t>T</t>
  </si>
  <si>
    <t>T_C</t>
  </si>
  <si>
    <t>S_e(T)</t>
  </si>
  <si>
    <t>S_r(T)</t>
  </si>
  <si>
    <t>lambda</t>
  </si>
  <si>
    <t>V_base</t>
  </si>
  <si>
    <t>Seismic Loads --&gt; EC8-1-1:2022</t>
  </si>
  <si>
    <t>m/s²</t>
  </si>
  <si>
    <t>Building Weight</t>
  </si>
  <si>
    <t>No. Storey</t>
  </si>
  <si>
    <r>
      <t>S</t>
    </r>
    <r>
      <rPr>
        <vertAlign val="subscript"/>
        <sz val="11"/>
        <color theme="1"/>
        <rFont val="Aptos Narrow"/>
        <family val="2"/>
      </rPr>
      <t>α</t>
    </r>
  </si>
  <si>
    <r>
      <t>S</t>
    </r>
    <r>
      <rPr>
        <vertAlign val="subscript"/>
        <sz val="11"/>
        <color theme="1"/>
        <rFont val="Aptos Narrow"/>
        <family val="2"/>
      </rPr>
      <t>ϐ</t>
    </r>
  </si>
  <si>
    <t>F_A</t>
  </si>
  <si>
    <t>χ</t>
  </si>
  <si>
    <t>T_A</t>
  </si>
  <si>
    <t>T_B</t>
  </si>
  <si>
    <t>T_D</t>
  </si>
  <si>
    <r>
      <t>T_</t>
    </r>
    <r>
      <rPr>
        <sz val="11"/>
        <color theme="1"/>
        <rFont val="Aptos Narrow"/>
        <family val="2"/>
      </rPr>
      <t>β</t>
    </r>
  </si>
  <si>
    <t>eta</t>
  </si>
  <si>
    <t>q_max</t>
  </si>
  <si>
    <t>q_d</t>
  </si>
  <si>
    <t>q_R</t>
  </si>
  <si>
    <t>q_S</t>
  </si>
  <si>
    <t>q_disp</t>
  </si>
  <si>
    <t>Period est.</t>
  </si>
  <si>
    <t>&lt;-- calculation on the following sheet</t>
  </si>
  <si>
    <t>Consequence Classes</t>
  </si>
  <si>
    <t>CC2</t>
  </si>
  <si>
    <t>CC3-a</t>
  </si>
  <si>
    <t>CC3-b</t>
  </si>
  <si>
    <t>&lt;-- CC2 building</t>
  </si>
  <si>
    <r>
      <t>γ</t>
    </r>
    <r>
      <rPr>
        <b/>
        <vertAlign val="subscript"/>
        <sz val="11"/>
        <color theme="1"/>
        <rFont val="Aptos Narrow"/>
        <family val="2"/>
      </rPr>
      <t>LS,CC</t>
    </r>
  </si>
  <si>
    <t>C*</t>
  </si>
  <si>
    <r>
      <t>Ѳ</t>
    </r>
    <r>
      <rPr>
        <b/>
        <vertAlign val="subscript"/>
        <sz val="11"/>
        <color theme="1"/>
        <rFont val="Aptos Narrow"/>
        <family val="2"/>
      </rPr>
      <t>c</t>
    </r>
  </si>
  <si>
    <r>
      <t>λ</t>
    </r>
    <r>
      <rPr>
        <b/>
        <vertAlign val="subscript"/>
        <sz val="11"/>
        <color theme="1"/>
        <rFont val="Aptos Narrow"/>
        <family val="2"/>
      </rPr>
      <t>c</t>
    </r>
  </si>
  <si>
    <t>POE50 [%]</t>
  </si>
  <si>
    <r>
      <t>S</t>
    </r>
    <r>
      <rPr>
        <b/>
        <vertAlign val="subscript"/>
        <sz val="11"/>
        <color theme="1"/>
        <rFont val="Aptos Narrow"/>
        <family val="2"/>
      </rPr>
      <t>α,475</t>
    </r>
  </si>
  <si>
    <r>
      <t>S</t>
    </r>
    <r>
      <rPr>
        <b/>
        <vertAlign val="subscript"/>
        <sz val="11"/>
        <color theme="1"/>
        <rFont val="Aptos Narrow"/>
        <family val="2"/>
      </rPr>
      <t>β,475</t>
    </r>
  </si>
  <si>
    <t>&lt;-- value from spreadsheet: "C:\Users\clemettn\OneDrive - Helmut-Schmidt-Universität\01_arbeit\14_PhD\other\Berechnungen\calculation_examples\risk-based-design-force\eshm20_hazard_curve_tailfingen.xlsm"</t>
  </si>
  <si>
    <r>
      <t>SA</t>
    </r>
    <r>
      <rPr>
        <b/>
        <vertAlign val="subscript"/>
        <sz val="11"/>
        <color theme="1"/>
        <rFont val="Aptos Narrow"/>
        <family val="2"/>
        <scheme val="minor"/>
      </rPr>
      <t>0.5s,475</t>
    </r>
  </si>
  <si>
    <t>Tailfingen</t>
  </si>
  <si>
    <t>First Order</t>
  </si>
  <si>
    <t>Point</t>
  </si>
  <si>
    <t>MAFE</t>
  </si>
  <si>
    <t>SA(0.5s)</t>
  </si>
  <si>
    <t>k0</t>
  </si>
  <si>
    <t>poe50yr</t>
  </si>
  <si>
    <t>mafe</t>
  </si>
  <si>
    <t>sa(0.5s)-Rock</t>
  </si>
  <si>
    <t>SA 0.1s [g]</t>
  </si>
  <si>
    <t>SA 0.15s [g]</t>
  </si>
  <si>
    <t>SA 0.2s [g]</t>
  </si>
  <si>
    <t>SA 1.0s [g]</t>
  </si>
  <si>
    <r>
      <t>S</t>
    </r>
    <r>
      <rPr>
        <b/>
        <vertAlign val="subscript"/>
        <sz val="11"/>
        <color theme="1"/>
        <rFont val="Aptos Narrow"/>
        <family val="2"/>
      </rPr>
      <t>α,RP</t>
    </r>
  </si>
  <si>
    <r>
      <t>F</t>
    </r>
    <r>
      <rPr>
        <b/>
        <vertAlign val="subscript"/>
        <sz val="11"/>
        <color theme="1"/>
        <rFont val="Aptos Narrow"/>
        <family val="2"/>
      </rPr>
      <t>α</t>
    </r>
    <r>
      <rPr>
        <b/>
        <sz val="11"/>
        <color theme="1"/>
        <rFont val="Aptos Narrow"/>
        <family val="2"/>
        <scheme val="minor"/>
      </rPr>
      <t xml:space="preserve"> (soil C)</t>
    </r>
  </si>
  <si>
    <r>
      <t>F</t>
    </r>
    <r>
      <rPr>
        <b/>
        <vertAlign val="subscript"/>
        <sz val="11"/>
        <color theme="1"/>
        <rFont val="Aptos Narrow"/>
        <family val="2"/>
      </rPr>
      <t>β</t>
    </r>
    <r>
      <rPr>
        <b/>
        <sz val="11"/>
        <color theme="1"/>
        <rFont val="Aptos Narrow"/>
        <family val="2"/>
        <scheme val="minor"/>
      </rPr>
      <t xml:space="preserve"> (soil C)</t>
    </r>
  </si>
  <si>
    <r>
      <t>T</t>
    </r>
    <r>
      <rPr>
        <b/>
        <vertAlign val="subscript"/>
        <sz val="11"/>
        <color theme="1"/>
        <rFont val="Aptos Narrow"/>
        <family val="2"/>
        <scheme val="minor"/>
      </rPr>
      <t>C</t>
    </r>
  </si>
  <si>
    <r>
      <t>F</t>
    </r>
    <r>
      <rPr>
        <b/>
        <vertAlign val="subscript"/>
        <sz val="11"/>
        <color theme="1"/>
        <rFont val="Aptos Narrow"/>
        <family val="2"/>
        <scheme val="minor"/>
      </rPr>
      <t>0.5s</t>
    </r>
    <r>
      <rPr>
        <b/>
        <sz val="11"/>
        <color theme="1"/>
        <rFont val="Aptos Narrow"/>
        <family val="2"/>
        <scheme val="minor"/>
      </rPr>
      <t xml:space="preserve"> using TC</t>
    </r>
  </si>
  <si>
    <r>
      <t>F</t>
    </r>
    <r>
      <rPr>
        <b/>
        <vertAlign val="subscript"/>
        <sz val="11"/>
        <color theme="1"/>
        <rFont val="Aptos Narrow"/>
        <family val="2"/>
        <scheme val="minor"/>
      </rPr>
      <t>0.5s</t>
    </r>
    <r>
      <rPr>
        <b/>
        <sz val="11"/>
        <color theme="1"/>
        <rFont val="Aptos Narrow"/>
        <family val="2"/>
        <scheme val="minor"/>
      </rPr>
      <t xml:space="preserve"> using 0.2s</t>
    </r>
  </si>
  <si>
    <t>sa(0.5s)-Soil C</t>
  </si>
  <si>
    <t>first order mafe</t>
  </si>
  <si>
    <t>sec. Order mafe</t>
  </si>
  <si>
    <t>k1</t>
  </si>
  <si>
    <t>Second Order</t>
  </si>
  <si>
    <t>MAFE, λ</t>
  </si>
  <si>
    <r>
      <t>y = ln(</t>
    </r>
    <r>
      <rPr>
        <sz val="11"/>
        <color theme="1"/>
        <rFont val="Aptos Narrow"/>
        <family val="2"/>
      </rPr>
      <t>λ)</t>
    </r>
  </si>
  <si>
    <t>x = ln(SA)</t>
  </si>
  <si>
    <t>D</t>
  </si>
  <si>
    <t>D1</t>
  </si>
  <si>
    <t>&lt;-- Cramers Rule</t>
  </si>
  <si>
    <t>D2</t>
  </si>
  <si>
    <t>a</t>
  </si>
  <si>
    <t>&lt;-- a = ln(k0)</t>
  </si>
  <si>
    <t>b</t>
  </si>
  <si>
    <t>&lt;-- b = -k1</t>
  </si>
  <si>
    <t>c</t>
  </si>
  <si>
    <t>&lt;-- c = -k2</t>
  </si>
  <si>
    <t>k2</t>
  </si>
  <si>
    <r>
      <rPr>
        <b/>
        <sz val="11"/>
        <color theme="1"/>
        <rFont val="Aptos Narrow"/>
        <family val="2"/>
        <scheme val="minor"/>
      </rPr>
      <t>S</t>
    </r>
    <r>
      <rPr>
        <b/>
        <vertAlign val="subscript"/>
        <sz val="11"/>
        <color theme="1"/>
        <rFont val="Aptos Narrow"/>
        <family val="2"/>
        <scheme val="minor"/>
      </rPr>
      <t>e,0.5s,475,ec8</t>
    </r>
  </si>
  <si>
    <r>
      <t>SA</t>
    </r>
    <r>
      <rPr>
        <b/>
        <vertAlign val="subscript"/>
        <sz val="11"/>
        <color theme="1"/>
        <rFont val="Aptos Narrow"/>
        <family val="2"/>
        <scheme val="minor"/>
      </rPr>
      <t>0.5s,475,eshm20</t>
    </r>
  </si>
  <si>
    <r>
      <t>H(Ѳ</t>
    </r>
    <r>
      <rPr>
        <b/>
        <vertAlign val="subscript"/>
        <sz val="11"/>
        <color theme="1"/>
        <rFont val="Aptos Narrow"/>
        <family val="2"/>
      </rPr>
      <t>c</t>
    </r>
    <r>
      <rPr>
        <b/>
        <sz val="11"/>
        <color theme="1"/>
        <rFont val="Aptos Narrow"/>
        <family val="2"/>
      </rPr>
      <t>)</t>
    </r>
  </si>
  <si>
    <r>
      <rPr>
        <b/>
        <sz val="11"/>
        <color theme="1"/>
        <rFont val="Aptos Narrow"/>
        <family val="2"/>
        <scheme val="minor"/>
      </rPr>
      <t>S</t>
    </r>
    <r>
      <rPr>
        <b/>
        <vertAlign val="subscript"/>
        <sz val="11"/>
        <color theme="1"/>
        <rFont val="Aptos Narrow"/>
        <family val="2"/>
        <scheme val="minor"/>
      </rPr>
      <t>e,cc</t>
    </r>
    <r>
      <rPr>
        <b/>
        <sz val="11"/>
        <color theme="1"/>
        <rFont val="Aptos Narrow"/>
        <family val="2"/>
        <scheme val="minor"/>
      </rPr>
      <t>(0.5s)</t>
    </r>
  </si>
  <si>
    <t>Actual RTP based on the partial safety factors provided in EC8 2nd gen.</t>
  </si>
  <si>
    <t>POE50 [%] of Collapse</t>
  </si>
  <si>
    <r>
      <t>H(S</t>
    </r>
    <r>
      <rPr>
        <b/>
        <vertAlign val="subscript"/>
        <sz val="11"/>
        <color theme="1"/>
        <rFont val="Aptos Narrow"/>
        <family val="2"/>
      </rPr>
      <t>e</t>
    </r>
    <r>
      <rPr>
        <b/>
        <sz val="11"/>
        <color theme="1"/>
        <rFont val="Aptos Narrow"/>
        <family val="2"/>
      </rPr>
      <t>) - eshm20</t>
    </r>
  </si>
  <si>
    <t>RTP - eshm20</t>
  </si>
  <si>
    <t>RTP - 1st O.</t>
  </si>
  <si>
    <r>
      <t>H(S</t>
    </r>
    <r>
      <rPr>
        <b/>
        <vertAlign val="subscript"/>
        <sz val="11"/>
        <color theme="1"/>
        <rFont val="Aptos Narrow"/>
        <family val="2"/>
      </rPr>
      <t>e</t>
    </r>
    <r>
      <rPr>
        <b/>
        <sz val="11"/>
        <color theme="1"/>
        <rFont val="Aptos Narrow"/>
        <family val="2"/>
      </rPr>
      <t>) - 1st O.</t>
    </r>
  </si>
  <si>
    <t>H(S)</t>
  </si>
  <si>
    <t>S</t>
  </si>
  <si>
    <r>
      <t>1st. O (k</t>
    </r>
    <r>
      <rPr>
        <vertAlign val="subscript"/>
        <sz val="11"/>
        <color theme="1"/>
        <rFont val="Aptos Narrow"/>
        <family val="2"/>
        <scheme val="minor"/>
      </rPr>
      <t>1</t>
    </r>
    <r>
      <rPr>
        <sz val="11"/>
        <color theme="1"/>
        <rFont val="Aptos Narrow"/>
        <family val="2"/>
        <scheme val="minor"/>
      </rPr>
      <t>=3)</t>
    </r>
  </si>
  <si>
    <t>&lt;-- uses k1 = 3, leads to much higher RTPs</t>
  </si>
  <si>
    <t>&lt;-- assumes the same 475-year intensity as Tailfingen, ESHM20</t>
  </si>
  <si>
    <t>&lt;-- larger k value</t>
  </si>
  <si>
    <t>&lt;-- chosen so that the this fictitious site and Tailfingen have the same  475-yr IM</t>
  </si>
  <si>
    <t>&lt;-- confirms that a steeper hazard curve would lead to lower design values for the higher reliability levels, given the same 475-yr RTP</t>
  </si>
  <si>
    <t>&lt;-- 4 Storey</t>
  </si>
  <si>
    <r>
      <t>H</t>
    </r>
    <r>
      <rPr>
        <b/>
        <vertAlign val="subscript"/>
        <sz val="11"/>
        <color theme="1"/>
        <rFont val="Aptos Narrow"/>
        <family val="2"/>
      </rPr>
      <t>0.85g</t>
    </r>
  </si>
  <si>
    <t>The low slope of the hazard curve is causing the large design forces for lower MAFCs. If the slope is increased the design baseshear should decrease.</t>
  </si>
  <si>
    <t>&lt;-- based on Se direct from hazard curve and not from design spectra</t>
  </si>
  <si>
    <t>Se</t>
  </si>
  <si>
    <t>Rq</t>
  </si>
  <si>
    <t>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</si>
</sst>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"/>
    <numFmt numFmtId="166" formatCode="0.0000"/>
    <numFmt numFmtId="167" formatCode="0.000000"/>
    <numFmt numFmtId="168" formatCode="0.0000E+00"/>
    <numFmt numFmtId="169" formatCode="0.000000E+00"/>
    <numFmt numFmtId="170" formatCode="0.0000000"/>
    <numFmt numFmtId="171" formatCode="0.00000000"/>
    <numFmt numFmtId="172" formatCode="0.000000000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vertAlign val="subscript"/>
      <sz val="11"/>
      <color theme="1"/>
      <name val="Aptos Narrow"/>
      <family val="2"/>
    </font>
    <font>
      <vertAlign val="superscript"/>
      <sz val="11"/>
      <color theme="1"/>
      <name val="Aptos Narrow"/>
      <family val="2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70C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Aptos Narrow"/>
      <family val="2"/>
    </font>
    <font>
      <i/>
      <sz val="11"/>
      <color theme="1"/>
      <name val="Aptos Narrow"/>
      <family val="2"/>
      <scheme val="minor"/>
    </font>
    <font>
      <b/>
      <vertAlign val="subscript"/>
      <sz val="11"/>
      <color theme="1"/>
      <name val="Aptos Narrow"/>
      <family val="2"/>
    </font>
    <font>
      <b/>
      <vertAlign val="subscript"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0" borderId="0" xfId="0" applyFont="1"/>
    <xf numFmtId="11" fontId="0" fillId="0" borderId="0" xfId="0" applyNumberFormat="1"/>
    <xf numFmtId="0" fontId="5" fillId="0" borderId="0" xfId="0" applyFont="1"/>
    <xf numFmtId="0" fontId="0" fillId="0" borderId="1" xfId="0" applyBorder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2" fontId="6" fillId="0" borderId="0" xfId="0" applyNumberFormat="1" applyFont="1"/>
    <xf numFmtId="0" fontId="0" fillId="0" borderId="1" xfId="0" applyBorder="1" applyAlignment="1">
      <alignment horizontal="center" vertical="center"/>
    </xf>
    <xf numFmtId="165" fontId="6" fillId="0" borderId="0" xfId="0" applyNumberFormat="1" applyFont="1"/>
    <xf numFmtId="0" fontId="7" fillId="0" borderId="0" xfId="0" applyFont="1"/>
    <xf numFmtId="0" fontId="5" fillId="3" borderId="2" xfId="0" applyFont="1" applyFill="1" applyBorder="1"/>
    <xf numFmtId="0" fontId="0" fillId="3" borderId="3" xfId="0" applyFill="1" applyBorder="1"/>
    <xf numFmtId="0" fontId="0" fillId="3" borderId="4" xfId="0" applyFill="1" applyBorder="1"/>
    <xf numFmtId="0" fontId="4" fillId="0" borderId="0" xfId="0" applyFont="1"/>
    <xf numFmtId="0" fontId="0" fillId="0" borderId="5" xfId="0" applyBorder="1"/>
    <xf numFmtId="0" fontId="5" fillId="0" borderId="5" xfId="0" applyFont="1" applyBorder="1"/>
    <xf numFmtId="0" fontId="6" fillId="0" borderId="0" xfId="0" applyFont="1"/>
    <xf numFmtId="2" fontId="6" fillId="0" borderId="5" xfId="0" applyNumberFormat="1" applyFont="1" applyBorder="1"/>
    <xf numFmtId="0" fontId="1" fillId="0" borderId="1" xfId="0" applyFont="1" applyBorder="1"/>
    <xf numFmtId="0" fontId="9" fillId="0" borderId="0" xfId="0" applyFont="1"/>
    <xf numFmtId="165" fontId="4" fillId="2" borderId="0" xfId="0" applyNumberFormat="1" applyFont="1" applyFill="1"/>
    <xf numFmtId="0" fontId="0" fillId="0" borderId="6" xfId="0" applyBorder="1"/>
    <xf numFmtId="164" fontId="6" fillId="0" borderId="7" xfId="0" applyNumberFormat="1" applyFont="1" applyBorder="1"/>
    <xf numFmtId="0" fontId="0" fillId="0" borderId="7" xfId="0" applyBorder="1"/>
    <xf numFmtId="0" fontId="0" fillId="0" borderId="8" xfId="0" applyBorder="1"/>
    <xf numFmtId="164" fontId="6" fillId="0" borderId="0" xfId="0" applyNumberFormat="1" applyFont="1"/>
    <xf numFmtId="11" fontId="4" fillId="0" borderId="0" xfId="0" applyNumberFormat="1" applyFont="1"/>
    <xf numFmtId="0" fontId="8" fillId="0" borderId="0" xfId="0" applyFont="1"/>
    <xf numFmtId="166" fontId="6" fillId="0" borderId="0" xfId="0" applyNumberFormat="1" applyFont="1"/>
    <xf numFmtId="11" fontId="6" fillId="0" borderId="0" xfId="0" applyNumberFormat="1" applyFont="1"/>
    <xf numFmtId="167" fontId="6" fillId="0" borderId="0" xfId="0" applyNumberFormat="1" applyFont="1"/>
    <xf numFmtId="0" fontId="5" fillId="0" borderId="1" xfId="0" applyFont="1" applyBorder="1"/>
    <xf numFmtId="0" fontId="6" fillId="0" borderId="5" xfId="0" applyFont="1" applyBorder="1"/>
    <xf numFmtId="0" fontId="5" fillId="0" borderId="0" xfId="0" applyFont="1" applyAlignment="1">
      <alignment horizontal="center"/>
    </xf>
    <xf numFmtId="166" fontId="6" fillId="0" borderId="8" xfId="0" applyNumberFormat="1" applyFont="1" applyBorder="1"/>
    <xf numFmtId="0" fontId="5" fillId="3" borderId="3" xfId="0" applyFont="1" applyFill="1" applyBorder="1"/>
    <xf numFmtId="0" fontId="5" fillId="3" borderId="4" xfId="0" applyFont="1" applyFill="1" applyBorder="1"/>
    <xf numFmtId="2" fontId="4" fillId="0" borderId="0" xfId="0" applyNumberFormat="1" applyFont="1"/>
    <xf numFmtId="0" fontId="6" fillId="0" borderId="8" xfId="0" applyFont="1" applyBorder="1"/>
    <xf numFmtId="172" fontId="6" fillId="0" borderId="5" xfId="0" applyNumberFormat="1" applyFont="1" applyBorder="1"/>
    <xf numFmtId="170" fontId="6" fillId="0" borderId="5" xfId="0" applyNumberFormat="1" applyFont="1" applyBorder="1"/>
    <xf numFmtId="169" fontId="6" fillId="0" borderId="0" xfId="0" applyNumberFormat="1" applyFont="1"/>
    <xf numFmtId="171" fontId="6" fillId="0" borderId="0" xfId="0" applyNumberFormat="1" applyFont="1"/>
    <xf numFmtId="169" fontId="6" fillId="0" borderId="5" xfId="0" applyNumberFormat="1" applyFont="1" applyBorder="1"/>
    <xf numFmtId="168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803149606299206E-2"/>
          <c:y val="5.0925925925925923E-2"/>
          <c:w val="0.83431473239758069"/>
          <c:h val="0.84204505686789155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risk_based_force_calcs!$D$15:$P$15</c:f>
              <c:numCache>
                <c:formatCode>0.00E+00</c:formatCode>
                <c:ptCount val="13"/>
                <c:pt idx="0">
                  <c:v>5.0000000000000001E-4</c:v>
                </c:pt>
                <c:pt idx="1">
                  <c:v>2.0000000000000001E-4</c:v>
                </c:pt>
                <c:pt idx="2">
                  <c:v>1.1400000000000001E-4</c:v>
                </c:pt>
                <c:pt idx="3">
                  <c:v>1.13E-4</c:v>
                </c:pt>
                <c:pt idx="4">
                  <c:v>9.0000000000000006E-5</c:v>
                </c:pt>
                <c:pt idx="5">
                  <c:v>8.0000000000000007E-5</c:v>
                </c:pt>
                <c:pt idx="6">
                  <c:v>6.9999999999999994E-5</c:v>
                </c:pt>
                <c:pt idx="7">
                  <c:v>6.0000000000000002E-5</c:v>
                </c:pt>
                <c:pt idx="8">
                  <c:v>5.0000000000000002E-5</c:v>
                </c:pt>
                <c:pt idx="9">
                  <c:v>4.0000000000000003E-5</c:v>
                </c:pt>
                <c:pt idx="10">
                  <c:v>3.0000000000000001E-5</c:v>
                </c:pt>
                <c:pt idx="11">
                  <c:v>2.0000000000000002E-5</c:v>
                </c:pt>
                <c:pt idx="12">
                  <c:v>1.0000000000000001E-5</c:v>
                </c:pt>
              </c:numCache>
            </c:numRef>
          </c:xVal>
          <c:yVal>
            <c:numRef>
              <c:f>risk_based_force_calcs!$D$17:$P$17</c:f>
              <c:numCache>
                <c:formatCode>0.000000</c:formatCode>
                <c:ptCount val="13"/>
                <c:pt idx="0">
                  <c:v>0.36657755060698383</c:v>
                </c:pt>
                <c:pt idx="1">
                  <c:v>0.61574492170230566</c:v>
                </c:pt>
                <c:pt idx="2">
                  <c:v>0.84640114109884867</c:v>
                </c:pt>
                <c:pt idx="3" formatCode="0.000">
                  <c:v>0.85063254749347683</c:v>
                </c:pt>
                <c:pt idx="4" formatCode="0.000">
                  <c:v>0.9675721631859393</c:v>
                </c:pt>
                <c:pt idx="5" formatCode="0.000">
                  <c:v>1.0342744883705801</c:v>
                </c:pt>
                <c:pt idx="6" formatCode="0.000">
                  <c:v>1.1154738401512225</c:v>
                </c:pt>
                <c:pt idx="7" formatCode="0.000">
                  <c:v>1.217170530619212</c:v>
                </c:pt>
                <c:pt idx="8" formatCode="0.000">
                  <c:v>1.3494854270401695</c:v>
                </c:pt>
                <c:pt idx="9" formatCode="0.000">
                  <c:v>1.5311561834619996</c:v>
                </c:pt>
                <c:pt idx="10" formatCode="0.000">
                  <c:v>1.8019183545959947</c:v>
                </c:pt>
                <c:pt idx="11" formatCode="0.000">
                  <c:v>2.2667476424439323</c:v>
                </c:pt>
                <c:pt idx="12" formatCode="0.000">
                  <c:v>3.3557287819637018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274-4EFB-A472-61C0CA47B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779936"/>
        <c:axId val="1232781856"/>
      </c:scatterChart>
      <c:scatterChart>
        <c:scatterStyle val="lineMarker"/>
        <c:varyColors val="0"/>
        <c:ser>
          <c:idx val="0"/>
          <c:order val="1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risk_based_force_calcs!$D$15:$P$15</c:f>
              <c:numCache>
                <c:formatCode>0.00E+00</c:formatCode>
                <c:ptCount val="13"/>
                <c:pt idx="0">
                  <c:v>5.0000000000000001E-4</c:v>
                </c:pt>
                <c:pt idx="1">
                  <c:v>2.0000000000000001E-4</c:v>
                </c:pt>
                <c:pt idx="2">
                  <c:v>1.1400000000000001E-4</c:v>
                </c:pt>
                <c:pt idx="3">
                  <c:v>1.13E-4</c:v>
                </c:pt>
                <c:pt idx="4">
                  <c:v>9.0000000000000006E-5</c:v>
                </c:pt>
                <c:pt idx="5">
                  <c:v>8.0000000000000007E-5</c:v>
                </c:pt>
                <c:pt idx="6">
                  <c:v>6.9999999999999994E-5</c:v>
                </c:pt>
                <c:pt idx="7">
                  <c:v>6.0000000000000002E-5</c:v>
                </c:pt>
                <c:pt idx="8">
                  <c:v>5.0000000000000002E-5</c:v>
                </c:pt>
                <c:pt idx="9">
                  <c:v>4.0000000000000003E-5</c:v>
                </c:pt>
                <c:pt idx="10">
                  <c:v>3.0000000000000001E-5</c:v>
                </c:pt>
                <c:pt idx="11">
                  <c:v>2.0000000000000002E-5</c:v>
                </c:pt>
                <c:pt idx="12">
                  <c:v>1.0000000000000001E-5</c:v>
                </c:pt>
              </c:numCache>
            </c:numRef>
          </c:xVal>
          <c:yVal>
            <c:numRef>
              <c:f>risk_based_force_calcs!$D$18:$P$18</c:f>
              <c:numCache>
                <c:formatCode>0.000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7.8225273151723729E-2</c:v>
                </c:pt>
                <c:pt idx="4">
                  <c:v>9.2141087419126771E-2</c:v>
                </c:pt>
                <c:pt idx="5">
                  <c:v>0.10007866411609903</c:v>
                </c:pt>
                <c:pt idx="6">
                  <c:v>0.10974138697799549</c:v>
                </c:pt>
                <c:pt idx="7">
                  <c:v>0.12184329314368622</c:v>
                </c:pt>
                <c:pt idx="8">
                  <c:v>0.13758876581778018</c:v>
                </c:pt>
                <c:pt idx="9">
                  <c:v>0.15920758583197794</c:v>
                </c:pt>
                <c:pt idx="10">
                  <c:v>0.19142828419692337</c:v>
                </c:pt>
                <c:pt idx="11">
                  <c:v>0.24674296945082794</c:v>
                </c:pt>
                <c:pt idx="12">
                  <c:v>0.37633172505368045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74-4EFB-A472-61C0CA47B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8468655"/>
        <c:axId val="1128504175"/>
      </c:scatterChart>
      <c:valAx>
        <c:axId val="1232779936"/>
        <c:scaling>
          <c:logBase val="10"/>
          <c:orientation val="minMax"/>
          <c:max val="1.0000000000000002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E+00" sourceLinked="0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2781856"/>
        <c:crosses val="autoZero"/>
        <c:crossBetween val="midCat"/>
      </c:valAx>
      <c:valAx>
        <c:axId val="123278185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2779936"/>
        <c:crossesAt val="1.0000000000000004E-5"/>
        <c:crossBetween val="midCat"/>
        <c:majorUnit val="1"/>
      </c:valAx>
      <c:valAx>
        <c:axId val="1128504175"/>
        <c:scaling>
          <c:orientation val="minMax"/>
          <c:max val="0.4"/>
          <c:min val="0"/>
        </c:scaling>
        <c:delete val="0"/>
        <c:axPos val="r"/>
        <c:numFmt formatCode="0.0" sourceLinked="0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28468655"/>
        <c:crosses val="max"/>
        <c:crossBetween val="midCat"/>
        <c:majorUnit val="0.1"/>
      </c:valAx>
      <c:valAx>
        <c:axId val="1128468655"/>
        <c:scaling>
          <c:logBase val="10"/>
          <c:orientation val="minMax"/>
        </c:scaling>
        <c:delete val="1"/>
        <c:axPos val="b"/>
        <c:numFmt formatCode="0.00E+00" sourceLinked="1"/>
        <c:majorTickMark val="out"/>
        <c:minorTickMark val="none"/>
        <c:tickLblPos val="nextTo"/>
        <c:crossAx val="1128504175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803149606299206E-2"/>
          <c:y val="5.0925925925925923E-2"/>
          <c:w val="0.83431473239758069"/>
          <c:h val="0.84204505686789155"/>
        </c:manualLayout>
      </c:layout>
      <c:scatterChart>
        <c:scatterStyle val="lineMarker"/>
        <c:varyColors val="0"/>
        <c:ser>
          <c:idx val="1"/>
          <c:order val="0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risk_based_force_calcs!$D$15:$P$15</c:f>
              <c:numCache>
                <c:formatCode>0.00E+00</c:formatCode>
                <c:ptCount val="13"/>
                <c:pt idx="0">
                  <c:v>5.0000000000000001E-4</c:v>
                </c:pt>
                <c:pt idx="1">
                  <c:v>2.0000000000000001E-4</c:v>
                </c:pt>
                <c:pt idx="2">
                  <c:v>1.1400000000000001E-4</c:v>
                </c:pt>
                <c:pt idx="3">
                  <c:v>1.13E-4</c:v>
                </c:pt>
                <c:pt idx="4">
                  <c:v>9.0000000000000006E-5</c:v>
                </c:pt>
                <c:pt idx="5">
                  <c:v>8.0000000000000007E-5</c:v>
                </c:pt>
                <c:pt idx="6">
                  <c:v>6.9999999999999994E-5</c:v>
                </c:pt>
                <c:pt idx="7">
                  <c:v>6.0000000000000002E-5</c:v>
                </c:pt>
                <c:pt idx="8">
                  <c:v>5.0000000000000002E-5</c:v>
                </c:pt>
                <c:pt idx="9">
                  <c:v>4.0000000000000003E-5</c:v>
                </c:pt>
                <c:pt idx="10">
                  <c:v>3.0000000000000001E-5</c:v>
                </c:pt>
                <c:pt idx="11">
                  <c:v>2.0000000000000002E-5</c:v>
                </c:pt>
                <c:pt idx="12">
                  <c:v>1.0000000000000001E-5</c:v>
                </c:pt>
              </c:numCache>
            </c:numRef>
          </c:xVal>
          <c:yVal>
            <c:numRef>
              <c:f>risk_based_force_calcs!$D$17:$P$17</c:f>
              <c:numCache>
                <c:formatCode>0.000000</c:formatCode>
                <c:ptCount val="13"/>
                <c:pt idx="0">
                  <c:v>0.36657755060698383</c:v>
                </c:pt>
                <c:pt idx="1">
                  <c:v>0.61574492170230566</c:v>
                </c:pt>
                <c:pt idx="2">
                  <c:v>0.84640114109884867</c:v>
                </c:pt>
                <c:pt idx="3" formatCode="0.000">
                  <c:v>0.85063254749347683</c:v>
                </c:pt>
                <c:pt idx="4" formatCode="0.000">
                  <c:v>0.9675721631859393</c:v>
                </c:pt>
                <c:pt idx="5" formatCode="0.000">
                  <c:v>1.0342744883705801</c:v>
                </c:pt>
                <c:pt idx="6" formatCode="0.000">
                  <c:v>1.1154738401512225</c:v>
                </c:pt>
                <c:pt idx="7" formatCode="0.000">
                  <c:v>1.217170530619212</c:v>
                </c:pt>
                <c:pt idx="8" formatCode="0.000">
                  <c:v>1.3494854270401695</c:v>
                </c:pt>
                <c:pt idx="9" formatCode="0.000">
                  <c:v>1.5311561834619996</c:v>
                </c:pt>
                <c:pt idx="10" formatCode="0.000">
                  <c:v>1.8019183545959947</c:v>
                </c:pt>
                <c:pt idx="11" formatCode="0.000">
                  <c:v>2.2667476424439323</c:v>
                </c:pt>
                <c:pt idx="12" formatCode="0.000">
                  <c:v>3.3557287819637018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09-4E04-8451-459A5F900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779936"/>
        <c:axId val="1232781856"/>
      </c:scatterChart>
      <c:valAx>
        <c:axId val="1232779936"/>
        <c:scaling>
          <c:logBase val="10"/>
          <c:orientation val="minMax"/>
          <c:max val="1.0000000000000002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E+00" sourceLinked="0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2781856"/>
        <c:crosses val="autoZero"/>
        <c:crossBetween val="midCat"/>
      </c:valAx>
      <c:valAx>
        <c:axId val="1232781856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2779936"/>
        <c:crossesAt val="1.0000000000000004E-5"/>
        <c:crossBetween val="midCat"/>
        <c:majorUnit val="1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803149606299206E-2"/>
          <c:y val="5.0925925925925923E-2"/>
          <c:w val="0.83431473239758069"/>
          <c:h val="0.84204505686789155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risk_based_force_calcs!$D$15:$P$15</c:f>
              <c:numCache>
                <c:formatCode>0.00E+00</c:formatCode>
                <c:ptCount val="13"/>
                <c:pt idx="0">
                  <c:v>5.0000000000000001E-4</c:v>
                </c:pt>
                <c:pt idx="1">
                  <c:v>2.0000000000000001E-4</c:v>
                </c:pt>
                <c:pt idx="2">
                  <c:v>1.1400000000000001E-4</c:v>
                </c:pt>
                <c:pt idx="3">
                  <c:v>1.13E-4</c:v>
                </c:pt>
                <c:pt idx="4">
                  <c:v>9.0000000000000006E-5</c:v>
                </c:pt>
                <c:pt idx="5">
                  <c:v>8.0000000000000007E-5</c:v>
                </c:pt>
                <c:pt idx="6">
                  <c:v>6.9999999999999994E-5</c:v>
                </c:pt>
                <c:pt idx="7">
                  <c:v>6.0000000000000002E-5</c:v>
                </c:pt>
                <c:pt idx="8">
                  <c:v>5.0000000000000002E-5</c:v>
                </c:pt>
                <c:pt idx="9">
                  <c:v>4.0000000000000003E-5</c:v>
                </c:pt>
                <c:pt idx="10">
                  <c:v>3.0000000000000001E-5</c:v>
                </c:pt>
                <c:pt idx="11">
                  <c:v>2.0000000000000002E-5</c:v>
                </c:pt>
                <c:pt idx="12">
                  <c:v>1.0000000000000001E-5</c:v>
                </c:pt>
              </c:numCache>
            </c:numRef>
          </c:xVal>
          <c:yVal>
            <c:numRef>
              <c:f>risk_based_force_calcs!$D$18:$P$18</c:f>
              <c:numCache>
                <c:formatCode>0.000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7.8225273151723729E-2</c:v>
                </c:pt>
                <c:pt idx="4">
                  <c:v>9.2141087419126771E-2</c:v>
                </c:pt>
                <c:pt idx="5">
                  <c:v>0.10007866411609903</c:v>
                </c:pt>
                <c:pt idx="6">
                  <c:v>0.10974138697799549</c:v>
                </c:pt>
                <c:pt idx="7">
                  <c:v>0.12184329314368622</c:v>
                </c:pt>
                <c:pt idx="8">
                  <c:v>0.13758876581778018</c:v>
                </c:pt>
                <c:pt idx="9">
                  <c:v>0.15920758583197794</c:v>
                </c:pt>
                <c:pt idx="10">
                  <c:v>0.19142828419692337</c:v>
                </c:pt>
                <c:pt idx="11">
                  <c:v>0.24674296945082794</c:v>
                </c:pt>
                <c:pt idx="12">
                  <c:v>0.37633172505368045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9-4EE6-B58C-CCA0B2110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2779936"/>
        <c:axId val="1232781856"/>
      </c:scatterChart>
      <c:valAx>
        <c:axId val="1232779936"/>
        <c:scaling>
          <c:logBase val="10"/>
          <c:orientation val="minMax"/>
          <c:max val="1.0000000000000002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E+00" sourceLinked="0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2781856"/>
        <c:crosses val="autoZero"/>
        <c:crossBetween val="midCat"/>
      </c:valAx>
      <c:valAx>
        <c:axId val="123278185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0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32779936"/>
        <c:crossesAt val="1.0000000000000004E-5"/>
        <c:crossBetween val="midCat"/>
        <c:majorUnit val="0.1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ec8_force_calcs!$M$14:$M$39</c:f>
              <c:numCache>
                <c:formatCode>General</c:formatCode>
                <c:ptCount val="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3.3338243837758387E-2</c:v>
                </c:pt>
                <c:pt idx="5">
                  <c:v>0.13335297535103355</c:v>
                </c:pt>
                <c:pt idx="6">
                  <c:v>0.2</c:v>
                </c:pt>
                <c:pt idx="7">
                  <c:v>0.3</c:v>
                </c:pt>
                <c:pt idx="8">
                  <c:v>0.4</c:v>
                </c:pt>
                <c:pt idx="9">
                  <c:v>0.5</c:v>
                </c:pt>
                <c:pt idx="10">
                  <c:v>0.6</c:v>
                </c:pt>
                <c:pt idx="11">
                  <c:v>0.7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  <c:pt idx="20">
                  <c:v>1.7</c:v>
                </c:pt>
                <c:pt idx="21">
                  <c:v>1.8</c:v>
                </c:pt>
                <c:pt idx="22">
                  <c:v>2</c:v>
                </c:pt>
                <c:pt idx="23">
                  <c:v>2.5</c:v>
                </c:pt>
                <c:pt idx="24">
                  <c:v>3</c:v>
                </c:pt>
                <c:pt idx="25">
                  <c:v>4</c:v>
                </c:pt>
              </c:numCache>
            </c:numRef>
          </c:xVal>
          <c:yVal>
            <c:numRef>
              <c:f>ec8_force_calcs!$N$14:$N$39</c:f>
              <c:numCache>
                <c:formatCode>General</c:formatCode>
                <c:ptCount val="26"/>
                <c:pt idx="0">
                  <c:v>0.16256544307812634</c:v>
                </c:pt>
                <c:pt idx="1">
                  <c:v>0.16256544307812634</c:v>
                </c:pt>
                <c:pt idx="2">
                  <c:v>0.16256544307812634</c:v>
                </c:pt>
                <c:pt idx="3">
                  <c:v>0.34538423660392409</c:v>
                </c:pt>
                <c:pt idx="4">
                  <c:v>0.40641360769531587</c:v>
                </c:pt>
                <c:pt idx="5">
                  <c:v>0.40641360769531587</c:v>
                </c:pt>
                <c:pt idx="6">
                  <c:v>0.27098231904659031</c:v>
                </c:pt>
                <c:pt idx="7">
                  <c:v>0.18065487936439359</c:v>
                </c:pt>
                <c:pt idx="8">
                  <c:v>0.13549115952329516</c:v>
                </c:pt>
                <c:pt idx="9">
                  <c:v>0.10839292761863614</c:v>
                </c:pt>
                <c:pt idx="10">
                  <c:v>9.0327439682196795E-2</c:v>
                </c:pt>
                <c:pt idx="11">
                  <c:v>7.7423519727597243E-2</c:v>
                </c:pt>
                <c:pt idx="12">
                  <c:v>6.0218293121464525E-2</c:v>
                </c:pt>
                <c:pt idx="13">
                  <c:v>5.4196463809318071E-2</c:v>
                </c:pt>
                <c:pt idx="14">
                  <c:v>4.9269512553925518E-2</c:v>
                </c:pt>
                <c:pt idx="15">
                  <c:v>4.5163719841098397E-2</c:v>
                </c:pt>
                <c:pt idx="16">
                  <c:v>4.1689587545629285E-2</c:v>
                </c:pt>
                <c:pt idx="17">
                  <c:v>3.8711759863798621E-2</c:v>
                </c:pt>
                <c:pt idx="18">
                  <c:v>3.6130975872878716E-2</c:v>
                </c:pt>
                <c:pt idx="19">
                  <c:v>3.3872789880823789E-2</c:v>
                </c:pt>
                <c:pt idx="20">
                  <c:v>3.1880272829010632E-2</c:v>
                </c:pt>
                <c:pt idx="21">
                  <c:v>3.0109146560732263E-2</c:v>
                </c:pt>
                <c:pt idx="22">
                  <c:v>2.7098231904659036E-2</c:v>
                </c:pt>
                <c:pt idx="23">
                  <c:v>1.7342868418981784E-2</c:v>
                </c:pt>
                <c:pt idx="24">
                  <c:v>1.2043658624292904E-2</c:v>
                </c:pt>
                <c:pt idx="25">
                  <c:v>6.7745579761647589E-3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28-4678-A264-5A2994569DA1}"/>
            </c:ext>
          </c:extLst>
        </c:ser>
        <c:ser>
          <c:idx val="1"/>
          <c:order val="1"/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ec8_force_calcs!$M$14:$M$39</c:f>
              <c:numCache>
                <c:formatCode>General</c:formatCode>
                <c:ptCount val="2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3.3338243837758387E-2</c:v>
                </c:pt>
                <c:pt idx="5">
                  <c:v>0.13335297535103355</c:v>
                </c:pt>
                <c:pt idx="6">
                  <c:v>0.2</c:v>
                </c:pt>
                <c:pt idx="7">
                  <c:v>0.3</c:v>
                </c:pt>
                <c:pt idx="8">
                  <c:v>0.4</c:v>
                </c:pt>
                <c:pt idx="9">
                  <c:v>0.5</c:v>
                </c:pt>
                <c:pt idx="10">
                  <c:v>0.6</c:v>
                </c:pt>
                <c:pt idx="11">
                  <c:v>0.7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  <c:pt idx="20">
                  <c:v>1.7</c:v>
                </c:pt>
                <c:pt idx="21">
                  <c:v>1.8</c:v>
                </c:pt>
                <c:pt idx="22">
                  <c:v>2</c:v>
                </c:pt>
                <c:pt idx="23">
                  <c:v>2.5</c:v>
                </c:pt>
                <c:pt idx="24">
                  <c:v>3</c:v>
                </c:pt>
                <c:pt idx="25">
                  <c:v>4</c:v>
                </c:pt>
              </c:numCache>
            </c:numRef>
          </c:xVal>
          <c:yVal>
            <c:numRef>
              <c:f>ec8_force_calcs!$P$14:$P$39</c:f>
              <c:numCache>
                <c:formatCode>General</c:formatCode>
                <c:ptCount val="26"/>
                <c:pt idx="0">
                  <c:v>9.8524510956440201E-2</c:v>
                </c:pt>
                <c:pt idx="1">
                  <c:v>9.8524510956440201E-2</c:v>
                </c:pt>
                <c:pt idx="2">
                  <c:v>9.8524510956440201E-2</c:v>
                </c:pt>
                <c:pt idx="3">
                  <c:v>0.151007344593385</c:v>
                </c:pt>
                <c:pt idx="4">
                  <c:v>0.16257097049112307</c:v>
                </c:pt>
                <c:pt idx="5">
                  <c:v>0.16257097049112307</c:v>
                </c:pt>
                <c:pt idx="6">
                  <c:v>0.10839661310348166</c:v>
                </c:pt>
                <c:pt idx="7">
                  <c:v>7.2264408735654456E-2</c:v>
                </c:pt>
                <c:pt idx="8">
                  <c:v>5.4198306551740828E-2</c:v>
                </c:pt>
                <c:pt idx="9">
                  <c:v>4.3358645241392671E-2</c:v>
                </c:pt>
                <c:pt idx="10">
                  <c:v>3.6132204367827228E-2</c:v>
                </c:pt>
                <c:pt idx="11">
                  <c:v>3.2513088615625269E-2</c:v>
                </c:pt>
                <c:pt idx="12">
                  <c:v>3.2513088615625269E-2</c:v>
                </c:pt>
                <c:pt idx="13">
                  <c:v>3.2513088615625269E-2</c:v>
                </c:pt>
                <c:pt idx="14">
                  <c:v>3.2513088615625269E-2</c:v>
                </c:pt>
                <c:pt idx="15">
                  <c:v>3.2513088615625269E-2</c:v>
                </c:pt>
                <c:pt idx="16">
                  <c:v>3.2513088615625269E-2</c:v>
                </c:pt>
                <c:pt idx="17">
                  <c:v>3.2513088615625269E-2</c:v>
                </c:pt>
                <c:pt idx="18">
                  <c:v>3.2513088615625269E-2</c:v>
                </c:pt>
                <c:pt idx="19">
                  <c:v>3.2513088615625269E-2</c:v>
                </c:pt>
                <c:pt idx="20">
                  <c:v>3.2513088615625269E-2</c:v>
                </c:pt>
                <c:pt idx="21">
                  <c:v>3.2513088615625269E-2</c:v>
                </c:pt>
                <c:pt idx="22">
                  <c:v>3.2513088615625269E-2</c:v>
                </c:pt>
                <c:pt idx="23">
                  <c:v>3.2513088615625269E-2</c:v>
                </c:pt>
                <c:pt idx="24">
                  <c:v>3.2513088615625269E-2</c:v>
                </c:pt>
                <c:pt idx="25">
                  <c:v>3.2513088615625269E-2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28-4678-A264-5A2994569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5308463"/>
        <c:axId val="1355311343"/>
      </c:scatterChart>
      <c:valAx>
        <c:axId val="1355308463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5311343"/>
        <c:crosses val="autoZero"/>
        <c:crossBetween val="midCat"/>
        <c:majorUnit val="0.25"/>
      </c:valAx>
      <c:valAx>
        <c:axId val="1355311343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5308463"/>
        <c:crosses val="autoZero"/>
        <c:crossBetween val="midCat"/>
        <c:majorUnit val="0.1"/>
      </c:valAx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ysClr val="windowText" lastClr="000000"/>
                </a:solidFill>
              </a:rPr>
              <a:t>Mean Hazard - Tailfingen</a:t>
            </a:r>
            <a:r>
              <a:rPr lang="de-DE" baseline="0">
                <a:solidFill>
                  <a:sysClr val="windowText" lastClr="000000"/>
                </a:solidFill>
              </a:rPr>
              <a:t> - ESHM20</a:t>
            </a:r>
            <a:endParaRPr lang="de-DE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6924460100382188"/>
          <c:y val="0.12256090929291152"/>
          <c:w val="0.76975387944927931"/>
          <c:h val="0.75478477302802927"/>
        </c:manualLayout>
      </c:layout>
      <c:scatterChart>
        <c:scatterStyle val="lineMarker"/>
        <c:varyColors val="0"/>
        <c:ser>
          <c:idx val="0"/>
          <c:order val="0"/>
          <c:tx>
            <c:v>ESHM20 - Mean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B-45EC-A6BE-72278AF58294}"/>
            </c:ext>
          </c:extLst>
        </c:ser>
        <c:ser>
          <c:idx val="1"/>
          <c:order val="1"/>
          <c:tx>
            <c:v>1st. Order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hazard_calcs!$O$9:$O$33</c:f>
              <c:numCache>
                <c:formatCode>0.00E+00</c:formatCode>
                <c:ptCount val="25"/>
                <c:pt idx="0">
                  <c:v>44.944914344809568</c:v>
                </c:pt>
                <c:pt idx="1">
                  <c:v>23.192709964052042</c:v>
                </c:pt>
                <c:pt idx="2">
                  <c:v>11.968045341636087</c:v>
                </c:pt>
                <c:pt idx="3">
                  <c:v>6.1758121700858331</c:v>
                </c:pt>
                <c:pt idx="4">
                  <c:v>3.1868784876240697</c:v>
                </c:pt>
                <c:pt idx="5">
                  <c:v>1.6445104897064631</c:v>
                </c:pt>
                <c:pt idx="6">
                  <c:v>0.84860971090280923</c:v>
                </c:pt>
                <c:pt idx="7">
                  <c:v>0.43790434379330073</c:v>
                </c:pt>
                <c:pt idx="8">
                  <c:v>0.22596983449736632</c:v>
                </c:pt>
                <c:pt idx="9">
                  <c:v>0.1166062218362072</c:v>
                </c:pt>
                <c:pt idx="10">
                  <c:v>6.0171793290029398E-2</c:v>
                </c:pt>
                <c:pt idx="11">
                  <c:v>3.1050184780783092E-2</c:v>
                </c:pt>
                <c:pt idx="12">
                  <c:v>1.6022689439050771E-2</c:v>
                </c:pt>
                <c:pt idx="13">
                  <c:v>8.2681179720617663E-3</c:v>
                </c:pt>
                <c:pt idx="14">
                  <c:v>4.2665604137559635E-3</c:v>
                </c:pt>
                <c:pt idx="15">
                  <c:v>2.2016543684729786E-3</c:v>
                </c:pt>
                <c:pt idx="16">
                  <c:v>1.1361099881295926E-3</c:v>
                </c:pt>
                <c:pt idx="17">
                  <c:v>5.8626182546683489E-4</c:v>
                </c:pt>
                <c:pt idx="18">
                  <c:v>3.0252610524187002E-4</c:v>
                </c:pt>
                <c:pt idx="19">
                  <c:v>1.5611121163960993E-4</c:v>
                </c:pt>
                <c:pt idx="20">
                  <c:v>8.0557380026032135E-5</c:v>
                </c:pt>
                <c:pt idx="21">
                  <c:v>4.1569669545449453E-5</c:v>
                </c:pt>
                <c:pt idx="22">
                  <c:v>2.1451013233088729E-5</c:v>
                </c:pt>
                <c:pt idx="23">
                  <c:v>1.1069271750992376E-5</c:v>
                </c:pt>
                <c:pt idx="24">
                  <c:v>5.7120274836633856E-6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7B-45EC-A6BE-72278AF58294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hazard_calcs!$T$4</c:f>
              <c:numCache>
                <c:formatCode>0.000000000</c:formatCode>
                <c:ptCount val="1"/>
                <c:pt idx="0">
                  <c:v>0.14106065216908439</c:v>
                </c:pt>
              </c:numCache>
            </c:numRef>
          </c:xVal>
          <c:yVal>
            <c:numRef>
              <c:f>hazard_calcs!$S$4</c:f>
              <c:numCache>
                <c:formatCode>General</c:formatCode>
                <c:ptCount val="1"/>
                <c:pt idx="0">
                  <c:v>2.1052631578947368E-3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7B-45EC-A6BE-72278AF58294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hazard_calcs!$T$5</c:f>
              <c:numCache>
                <c:formatCode>General</c:formatCode>
                <c:ptCount val="1"/>
                <c:pt idx="0">
                  <c:v>0.53307040422459473</c:v>
                </c:pt>
              </c:numCache>
            </c:numRef>
          </c:xVal>
          <c:yVal>
            <c:numRef>
              <c:f>hazard_calcs!$S$5</c:f>
              <c:numCache>
                <c:formatCode>General</c:formatCode>
                <c:ptCount val="1"/>
                <c:pt idx="0">
                  <c:v>2.0100502512562814E-4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7B-45EC-A6BE-72278AF58294}"/>
            </c:ext>
          </c:extLst>
        </c:ser>
        <c:ser>
          <c:idx val="4"/>
          <c:order val="4"/>
          <c:tx>
            <c:v>2nd. Order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hazard_calcs!$P$9:$P$33</c:f>
              <c:numCache>
                <c:formatCode>0.00E+00</c:formatCode>
                <c:ptCount val="25"/>
                <c:pt idx="0">
                  <c:v>0.10132659899562353</c:v>
                </c:pt>
                <c:pt idx="1">
                  <c:v>0.10636597931488398</c:v>
                </c:pt>
                <c:pt idx="2">
                  <c:v>0.10690815298963843</c:v>
                </c:pt>
                <c:pt idx="3">
                  <c:v>0.10288397152685337</c:v>
                </c:pt>
                <c:pt idx="4">
                  <c:v>9.4801122422669637E-2</c:v>
                </c:pt>
                <c:pt idx="5">
                  <c:v>8.3638844777824545E-2</c:v>
                </c:pt>
                <c:pt idx="6">
                  <c:v>7.065313623060944E-2</c:v>
                </c:pt>
                <c:pt idx="7">
                  <c:v>5.7145714975904684E-2</c:v>
                </c:pt>
                <c:pt idx="8">
                  <c:v>4.4255240731599234E-2</c:v>
                </c:pt>
                <c:pt idx="9">
                  <c:v>3.281516461569501E-2</c:v>
                </c:pt>
                <c:pt idx="10">
                  <c:v>2.3297712463395934E-2</c:v>
                </c:pt>
                <c:pt idx="11">
                  <c:v>1.5837287527302724E-2</c:v>
                </c:pt>
                <c:pt idx="12">
                  <c:v>1.0308064836204653E-2</c:v>
                </c:pt>
                <c:pt idx="13">
                  <c:v>6.4239525347841477E-3</c:v>
                </c:pt>
                <c:pt idx="14">
                  <c:v>3.8331544651400498E-3</c:v>
                </c:pt>
                <c:pt idx="15">
                  <c:v>2.1899749580102956E-3</c:v>
                </c:pt>
                <c:pt idx="16">
                  <c:v>1.1979833950896547E-3</c:v>
                </c:pt>
                <c:pt idx="17">
                  <c:v>6.274675559833911E-4</c:v>
                </c:pt>
                <c:pt idx="18">
                  <c:v>3.1467379634428415E-4</c:v>
                </c:pt>
                <c:pt idx="19">
                  <c:v>1.5109799723396424E-4</c:v>
                </c:pt>
                <c:pt idx="20">
                  <c:v>6.946813865875194E-5</c:v>
                </c:pt>
                <c:pt idx="21">
                  <c:v>3.0580278978545332E-5</c:v>
                </c:pt>
                <c:pt idx="22">
                  <c:v>1.2889202566460531E-5</c:v>
                </c:pt>
                <c:pt idx="23">
                  <c:v>5.201630288107375E-6</c:v>
                </c:pt>
                <c:pt idx="24">
                  <c:v>2.0099337318213247E-6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7B-45EC-A6BE-72278AF58294}"/>
            </c:ext>
          </c:extLst>
        </c:ser>
        <c:ser>
          <c:idx val="5"/>
          <c:order val="5"/>
          <c:tx>
            <c:strRef>
              <c:f>hazard_calcs!$AD$8</c:f>
              <c:strCache>
                <c:ptCount val="1"/>
                <c:pt idx="0">
                  <c:v>1st. O (k1=3)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hazard_calcs!$AD$9:$AD$33</c:f>
              <c:numCache>
                <c:formatCode>0.00E+00</c:formatCode>
                <c:ptCount val="25"/>
                <c:pt idx="0">
                  <c:v>47273.095303205642</c:v>
                </c:pt>
                <c:pt idx="1">
                  <c:v>15371.890550905542</c:v>
                </c:pt>
                <c:pt idx="2">
                  <c:v>4998.5249868468045</c:v>
                </c:pt>
                <c:pt idx="3">
                  <c:v>1625.3801968497455</c:v>
                </c:pt>
                <c:pt idx="4">
                  <c:v>528.52925706915801</c:v>
                </c:pt>
                <c:pt idx="5">
                  <c:v>171.86309267110764</c:v>
                </c:pt>
                <c:pt idx="6">
                  <c:v>55.885168114298068</c:v>
                </c:pt>
                <c:pt idx="7">
                  <c:v>18.172318607041966</c:v>
                </c:pt>
                <c:pt idx="8">
                  <c:v>5.9091369129007054</c:v>
                </c:pt>
                <c:pt idx="9">
                  <c:v>1.9214886972432097</c:v>
                </c:pt>
                <c:pt idx="10">
                  <c:v>0.62481518017035009</c:v>
                </c:pt>
                <c:pt idx="11">
                  <c:v>0.20317268316491782</c:v>
                </c:pt>
                <c:pt idx="12">
                  <c:v>6.6066157133643846E-2</c:v>
                </c:pt>
                <c:pt idx="13">
                  <c:v>2.1482895502817709E-2</c:v>
                </c:pt>
                <c:pt idx="14">
                  <c:v>6.9856457926945762E-3</c:v>
                </c:pt>
                <c:pt idx="15">
                  <c:v>2.2715396276818049E-3</c:v>
                </c:pt>
                <c:pt idx="16">
                  <c:v>7.3864211411258805E-4</c:v>
                </c:pt>
                <c:pt idx="17">
                  <c:v>2.4018606981302866E-4</c:v>
                </c:pt>
                <c:pt idx="18">
                  <c:v>7.8101894751386321E-5</c:v>
                </c:pt>
                <c:pt idx="19">
                  <c:v>2.5396584900118657E-5</c:v>
                </c:pt>
                <c:pt idx="20">
                  <c:v>8.2582698909971899E-6</c:v>
                </c:pt>
                <c:pt idx="21">
                  <c:v>2.6853619068836881E-6</c:v>
                </c:pt>
                <c:pt idx="22">
                  <c:v>8.7320572685672986E-7</c:v>
                </c:pt>
                <c:pt idx="23">
                  <c:v>2.8394245098274142E-7</c:v>
                </c:pt>
                <c:pt idx="24">
                  <c:v>9.2330264264073531E-8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56-45F1-93DD-A4F1E43774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64928"/>
        <c:axId val="94876448"/>
      </c:scatterChart>
      <c:valAx>
        <c:axId val="9486492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ysClr val="windowText" lastClr="000000"/>
                    </a:solidFill>
                  </a:rPr>
                  <a:t>Spectral Acceleration, SA(0.5s)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E+0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876448"/>
        <c:crossesAt val="1.0000000000000005E-9"/>
        <c:crossBetween val="midCat"/>
      </c:valAx>
      <c:valAx>
        <c:axId val="948764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 b="0">
                    <a:solidFill>
                      <a:sysClr val="windowText" lastClr="000000"/>
                    </a:solidFill>
                  </a:rPr>
                  <a:t>Mean Annual</a:t>
                </a:r>
                <a:r>
                  <a:rPr lang="de-DE" b="0" baseline="0">
                    <a:solidFill>
                      <a:sysClr val="windowText" lastClr="000000"/>
                    </a:solidFill>
                  </a:rPr>
                  <a:t> Freq	uency of Exceedence, MAFE</a:t>
                </a:r>
                <a:endParaRPr lang="de-DE" b="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E+0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864928"/>
        <c:crossesAt val="1.0000000000000004E-5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66713404245521946"/>
          <c:y val="0.14788662341737752"/>
          <c:w val="0.25330478427038727"/>
          <c:h val="0.2115173180211247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869225721784776"/>
          <c:y val="5.0925925925925923E-2"/>
          <c:w val="0.81875831146106748"/>
          <c:h val="0.84204505686789155"/>
        </c:manualLayout>
      </c:layout>
      <c:scatterChart>
        <c:scatterStyle val="lineMarker"/>
        <c:varyColors val="0"/>
        <c:ser>
          <c:idx val="1"/>
          <c:order val="1"/>
          <c:tx>
            <c:strRef>
              <c:f>hazard_calcs!$D$8</c:f>
              <c:strCache>
                <c:ptCount val="1"/>
                <c:pt idx="0">
                  <c:v>SA 0.1s [g]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hazard_calcs!$D$9:$D$33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7.0430975583351868E-4</c:v>
                </c:pt>
                <c:pt idx="2">
                  <c:v>1.0851079887512728E-3</c:v>
                </c:pt>
                <c:pt idx="3">
                  <c:v>1.7101685694036963E-3</c:v>
                </c:pt>
                <c:pt idx="4">
                  <c:v>2.6897176279564949E-3</c:v>
                </c:pt>
                <c:pt idx="5">
                  <c:v>4.2154558482998591E-3</c:v>
                </c:pt>
                <c:pt idx="6">
                  <c:v>6.5828026542648676E-3</c:v>
                </c:pt>
                <c:pt idx="7">
                  <c:v>1.0254212753537445E-2</c:v>
                </c:pt>
                <c:pt idx="8">
                  <c:v>1.6073309297985734E-2</c:v>
                </c:pt>
                <c:pt idx="9">
                  <c:v>2.6161009928460984E-2</c:v>
                </c:pt>
                <c:pt idx="10">
                  <c:v>4.2592939924630098E-2</c:v>
                </c:pt>
                <c:pt idx="11">
                  <c:v>6.8925392316648987E-2</c:v>
                </c:pt>
                <c:pt idx="12">
                  <c:v>0.11118536721669581</c:v>
                </c:pt>
                <c:pt idx="13">
                  <c:v>0.17959703922944967</c:v>
                </c:pt>
                <c:pt idx="14">
                  <c:v>0.27679541596616286</c:v>
                </c:pt>
                <c:pt idx="15">
                  <c:v>0.41202697959280671</c:v>
                </c:pt>
                <c:pt idx="16">
                  <c:v>0.60006488482404219</c:v>
                </c:pt>
                <c:pt idx="17">
                  <c:v>0.86470277346017121</c:v>
                </c:pt>
                <c:pt idx="18">
                  <c:v>1.2432872880736825</c:v>
                </c:pt>
                <c:pt idx="19">
                  <c:v>1.7978878753071676</c:v>
                </c:pt>
                <c:pt idx="20">
                  <c:v>2.6346710292538762</c:v>
                </c:pt>
                <c:pt idx="21">
                  <c:v>3.926482828549207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A8-4F01-8C3C-845271740CB6}"/>
            </c:ext>
          </c:extLst>
        </c:ser>
        <c:ser>
          <c:idx val="2"/>
          <c:order val="2"/>
          <c:tx>
            <c:strRef>
              <c:f>hazard_calcs!$E$8</c:f>
              <c:strCache>
                <c:ptCount val="1"/>
                <c:pt idx="0">
                  <c:v>SA 0.15s [g]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hazard_calcs!$E$9:$E$33</c:f>
              <c:numCache>
                <c:formatCode>0.00E+00</c:formatCode>
                <c:ptCount val="25"/>
                <c:pt idx="0">
                  <c:v>6.3375246423011237E-4</c:v>
                </c:pt>
                <c:pt idx="1">
                  <c:v>9.6827022110385953E-4</c:v>
                </c:pt>
                <c:pt idx="2">
                  <c:v>1.4102757786895433E-3</c:v>
                </c:pt>
                <c:pt idx="3">
                  <c:v>2.2445293263589823E-3</c:v>
                </c:pt>
                <c:pt idx="4">
                  <c:v>3.4674374001062106E-3</c:v>
                </c:pt>
                <c:pt idx="5">
                  <c:v>5.3796808626947676E-3</c:v>
                </c:pt>
                <c:pt idx="6">
                  <c:v>8.320376682798036E-3</c:v>
                </c:pt>
                <c:pt idx="7">
                  <c:v>1.2846108989849891E-2</c:v>
                </c:pt>
                <c:pt idx="8">
                  <c:v>1.9840440204310934E-2</c:v>
                </c:pt>
                <c:pt idx="9">
                  <c:v>3.0720026221131305E-2</c:v>
                </c:pt>
                <c:pt idx="10">
                  <c:v>4.7704478647249943E-2</c:v>
                </c:pt>
                <c:pt idx="11">
                  <c:v>7.4590991878653312E-2</c:v>
                </c:pt>
                <c:pt idx="12">
                  <c:v>0.11939547275077031</c:v>
                </c:pt>
                <c:pt idx="13">
                  <c:v>0.18571657156707347</c:v>
                </c:pt>
                <c:pt idx="14">
                  <c:v>0.28002555157971232</c:v>
                </c:pt>
                <c:pt idx="15">
                  <c:v>0.41132469644269076</c:v>
                </c:pt>
                <c:pt idx="16">
                  <c:v>0.59346993716056584</c:v>
                </c:pt>
                <c:pt idx="17">
                  <c:v>0.84829706332976595</c:v>
                </c:pt>
                <c:pt idx="18">
                  <c:v>1.2096036813599884</c:v>
                </c:pt>
                <c:pt idx="19">
                  <c:v>1.7326527483032428</c:v>
                </c:pt>
                <c:pt idx="20">
                  <c:v>2.5106497090967337</c:v>
                </c:pt>
                <c:pt idx="21">
                  <c:v>3.7009850496451113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8-4F01-8C3C-845271740CB6}"/>
            </c:ext>
          </c:extLst>
        </c:ser>
        <c:ser>
          <c:idx val="3"/>
          <c:order val="3"/>
          <c:tx>
            <c:strRef>
              <c:f>hazard_calcs!$F$8</c:f>
              <c:strCache>
                <c:ptCount val="1"/>
                <c:pt idx="0">
                  <c:v>SA 0.2s [g]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hazard_calcs!$F$9:$F$33</c:f>
              <c:numCache>
                <c:formatCode>0.00E+00</c:formatCode>
                <c:ptCount val="25"/>
                <c:pt idx="0">
                  <c:v>7.7088572141703745E-4</c:v>
                </c:pt>
                <c:pt idx="1">
                  <c:v>1.1670903170462599E-3</c:v>
                </c:pt>
                <c:pt idx="2">
                  <c:v>1.7667407305897926E-3</c:v>
                </c:pt>
                <c:pt idx="3">
                  <c:v>2.6707395183475017E-3</c:v>
                </c:pt>
                <c:pt idx="4">
                  <c:v>4.0278580699525121E-3</c:v>
                </c:pt>
                <c:pt idx="5">
                  <c:v>6.060240320271814E-3</c:v>
                </c:pt>
                <c:pt idx="6">
                  <c:v>9.1035416970755741E-3</c:v>
                </c:pt>
                <c:pt idx="7">
                  <c:v>1.3673408964231231E-2</c:v>
                </c:pt>
                <c:pt idx="8">
                  <c:v>2.0575969103177119E-2</c:v>
                </c:pt>
                <c:pt idx="9">
                  <c:v>3.1090720765209905E-2</c:v>
                </c:pt>
                <c:pt idx="10">
                  <c:v>4.7224201618999033E-2</c:v>
                </c:pt>
                <c:pt idx="11">
                  <c:v>7.1949062717309761E-2</c:v>
                </c:pt>
                <c:pt idx="12">
                  <c:v>0.11063609155553744</c:v>
                </c:pt>
                <c:pt idx="13">
                  <c:v>0.1695653591028484</c:v>
                </c:pt>
                <c:pt idx="14">
                  <c:v>0.25266945069097135</c:v>
                </c:pt>
                <c:pt idx="15">
                  <c:v>0.36633247758007703</c:v>
                </c:pt>
                <c:pt idx="16">
                  <c:v>0.51928197648933616</c:v>
                </c:pt>
                <c:pt idx="17">
                  <c:v>0.7300432454303839</c:v>
                </c:pt>
                <c:pt idx="18">
                  <c:v>1.0500202291196372</c:v>
                </c:pt>
                <c:pt idx="19">
                  <c:v>1.516484908092844</c:v>
                </c:pt>
                <c:pt idx="20">
                  <c:v>2.2037496065663298</c:v>
                </c:pt>
                <c:pt idx="21">
                  <c:v>3.2230726615246068</c:v>
                </c:pt>
                <c:pt idx="22">
                  <c:v>4.7526795974846712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8-4F01-8C3C-845271740CB6}"/>
            </c:ext>
          </c:extLst>
        </c:ser>
        <c:ser>
          <c:idx val="4"/>
          <c:order val="4"/>
          <c:tx>
            <c:strRef>
              <c:f>hazard_calcs!$G$8</c:f>
              <c:strCache>
                <c:ptCount val="1"/>
                <c:pt idx="0">
                  <c:v>SA 1.0s [g]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hazard_calcs!$G$9:$G$33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5.0000000000000001E-4</c:v>
                </c:pt>
                <c:pt idx="2">
                  <c:v>5.0000000000000001E-4</c:v>
                </c:pt>
                <c:pt idx="3">
                  <c:v>6.4379175884156121E-4</c:v>
                </c:pt>
                <c:pt idx="4">
                  <c:v>9.3032902432895988E-4</c:v>
                </c:pt>
                <c:pt idx="5">
                  <c:v>1.3489980882469808E-3</c:v>
                </c:pt>
                <c:pt idx="6">
                  <c:v>1.961664060981993E-3</c:v>
                </c:pt>
                <c:pt idx="7">
                  <c:v>2.8558652480264158E-3</c:v>
                </c:pt>
                <c:pt idx="8">
                  <c:v>4.1515965479838402E-3</c:v>
                </c:pt>
                <c:pt idx="9">
                  <c:v>6.0119185367699252E-3</c:v>
                </c:pt>
                <c:pt idx="10">
                  <c:v>8.661926512871343E-3</c:v>
                </c:pt>
                <c:pt idx="11">
                  <c:v>1.2421923875970159E-2</c:v>
                </c:pt>
                <c:pt idx="12">
                  <c:v>1.7762433917808559E-2</c:v>
                </c:pt>
                <c:pt idx="13">
                  <c:v>2.5401356370580601E-2</c:v>
                </c:pt>
                <c:pt idx="14">
                  <c:v>3.6477865390004229E-2</c:v>
                </c:pt>
                <c:pt idx="15">
                  <c:v>5.2816866096286705E-2</c:v>
                </c:pt>
                <c:pt idx="16">
                  <c:v>7.7234793196702733E-2</c:v>
                </c:pt>
                <c:pt idx="17">
                  <c:v>0.11373028805245365</c:v>
                </c:pt>
                <c:pt idx="18">
                  <c:v>0.17132896556280247</c:v>
                </c:pt>
                <c:pt idx="19">
                  <c:v>0.26100611890770015</c:v>
                </c:pt>
                <c:pt idx="20">
                  <c:v>0.39563774848955335</c:v>
                </c:pt>
                <c:pt idx="21">
                  <c:v>0.59649362881667534</c:v>
                </c:pt>
                <c:pt idx="22">
                  <c:v>0.89758206675045171</c:v>
                </c:pt>
                <c:pt idx="23">
                  <c:v>1.3425850686988936</c:v>
                </c:pt>
                <c:pt idx="24">
                  <c:v>2.0198296785724241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A8-4F01-8C3C-845271740CB6}"/>
            </c:ext>
          </c:extLst>
        </c:ser>
        <c:ser>
          <c:idx val="5"/>
          <c:order val="5"/>
          <c:tx>
            <c:strRef>
              <c:f>hazard_calcs!$H$8</c:f>
              <c:strCache>
                <c:ptCount val="1"/>
                <c:pt idx="0">
                  <c:v>Sα,RP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hazard_calcs!$H$9:$H$33</c:f>
              <c:numCache>
                <c:formatCode>0.00E+00</c:formatCode>
                <c:ptCount val="25"/>
                <c:pt idx="0">
                  <c:v>6.3487939521571658E-4</c:v>
                </c:pt>
                <c:pt idx="1">
                  <c:v>9.4655676466121269E-4</c:v>
                </c:pt>
                <c:pt idx="2">
                  <c:v>1.4207081660102029E-3</c:v>
                </c:pt>
                <c:pt idx="3">
                  <c:v>2.2084791380367268E-3</c:v>
                </c:pt>
                <c:pt idx="4">
                  <c:v>3.3950043660050722E-3</c:v>
                </c:pt>
                <c:pt idx="5">
                  <c:v>5.2184590104221466E-3</c:v>
                </c:pt>
                <c:pt idx="6">
                  <c:v>8.0022403447128267E-3</c:v>
                </c:pt>
                <c:pt idx="7">
                  <c:v>1.2257910235872855E-2</c:v>
                </c:pt>
                <c:pt idx="8">
                  <c:v>1.8829906201824596E-2</c:v>
                </c:pt>
                <c:pt idx="9">
                  <c:v>2.9323918971600731E-2</c:v>
                </c:pt>
                <c:pt idx="10">
                  <c:v>4.584054006362636E-2</c:v>
                </c:pt>
                <c:pt idx="11">
                  <c:v>7.1821815637537353E-2</c:v>
                </c:pt>
                <c:pt idx="12">
                  <c:v>0.11373897717433452</c:v>
                </c:pt>
                <c:pt idx="13">
                  <c:v>0.17829298996645718</c:v>
                </c:pt>
                <c:pt idx="14">
                  <c:v>0.26983013941228218</c:v>
                </c:pt>
                <c:pt idx="15">
                  <c:v>0.39656138453852491</c:v>
                </c:pt>
                <c:pt idx="16">
                  <c:v>0.57093893282464803</c:v>
                </c:pt>
                <c:pt idx="17">
                  <c:v>0.81434769407344032</c:v>
                </c:pt>
                <c:pt idx="18">
                  <c:v>1.167637066184436</c:v>
                </c:pt>
                <c:pt idx="19">
                  <c:v>1.6823418439010849</c:v>
                </c:pt>
                <c:pt idx="20">
                  <c:v>2.4496901149723134</c:v>
                </c:pt>
                <c:pt idx="21">
                  <c:v>3.6168468465729746</c:v>
                </c:pt>
                <c:pt idx="22">
                  <c:v>4.917559865828224</c:v>
                </c:pt>
                <c:pt idx="23">
                  <c:v>5</c:v>
                </c:pt>
                <c:pt idx="24">
                  <c:v>5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A8-4F01-8C3C-845271740C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154464"/>
        <c:axId val="212915398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hazard_calcs!$C$8</c15:sqref>
                        </c15:formulaRef>
                      </c:ext>
                    </c:extLst>
                    <c:strCache>
                      <c:ptCount val="1"/>
                      <c:pt idx="0">
                        <c:v>sa(0.5s)-Rock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hazard_calcs!$C$9:$C$33</c15:sqref>
                        </c15:formulaRef>
                      </c:ext>
                    </c:extLst>
                    <c:numCache>
                      <c:formatCode>0.00E+00</c:formatCode>
                      <c:ptCount val="25"/>
                      <c:pt idx="0">
                        <c:v>5.0000000000000001E-4</c:v>
                      </c:pt>
                      <c:pt idx="1">
                        <c:v>7.2710799999999899E-4</c:v>
                      </c:pt>
                      <c:pt idx="2">
                        <c:v>1.0573710000000001E-3</c:v>
                      </c:pt>
                      <c:pt idx="3">
                        <c:v>1.53764599999999E-3</c:v>
                      </c:pt>
                      <c:pt idx="4">
                        <c:v>2.2360679999999899E-3</c:v>
                      </c:pt>
                      <c:pt idx="5">
                        <c:v>3.251725E-3</c:v>
                      </c:pt>
                      <c:pt idx="6">
                        <c:v>4.7287079999999903E-3</c:v>
                      </c:pt>
                      <c:pt idx="7">
                        <c:v>6.8765600000000003E-3</c:v>
                      </c:pt>
                      <c:pt idx="8">
                        <c:v>0.01</c:v>
                      </c:pt>
                      <c:pt idx="9">
                        <c:v>1.4542153999999899E-2</c:v>
                      </c:pt>
                      <c:pt idx="10">
                        <c:v>2.1147425000000001E-2</c:v>
                      </c:pt>
                      <c:pt idx="11">
                        <c:v>3.0752912E-2</c:v>
                      </c:pt>
                      <c:pt idx="12">
                        <c:v>4.4721360000000002E-2</c:v>
                      </c:pt>
                      <c:pt idx="13">
                        <c:v>6.5034490999999903E-2</c:v>
                      </c:pt>
                      <c:pt idx="14">
                        <c:v>9.4574161000000004E-2</c:v>
                      </c:pt>
                      <c:pt idx="15">
                        <c:v>0.13753120399999899</c:v>
                      </c:pt>
                      <c:pt idx="16">
                        <c:v>0.2</c:v>
                      </c:pt>
                      <c:pt idx="17">
                        <c:v>0.290843087</c:v>
                      </c:pt>
                      <c:pt idx="18">
                        <c:v>0.42294850499999898</c:v>
                      </c:pt>
                      <c:pt idx="19">
                        <c:v>0.61505824399999898</c:v>
                      </c:pt>
                      <c:pt idx="20">
                        <c:v>0.89442719100000001</c:v>
                      </c:pt>
                      <c:pt idx="21">
                        <c:v>1.3006898250000001</c:v>
                      </c:pt>
                      <c:pt idx="22">
                        <c:v>1.8914832180000001</c:v>
                      </c:pt>
                      <c:pt idx="23">
                        <c:v>2.7506240879999901</c:v>
                      </c:pt>
                      <c:pt idx="24">
                        <c:v>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hazard_calcs!$B$9:$B$33</c15:sqref>
                        </c15:formulaRef>
                      </c:ext>
                    </c:extLst>
                    <c:numCache>
                      <c:formatCode>General</c:formatCode>
                      <c:ptCount val="25"/>
                      <c:pt idx="0">
                        <c:v>0.16636684665341964</c:v>
                      </c:pt>
                      <c:pt idx="1">
                        <c:v>0.14658699538040401</c:v>
                      </c:pt>
                      <c:pt idx="2">
                        <c:v>0.12634389374394644</c:v>
                      </c:pt>
                      <c:pt idx="3">
                        <c:v>0.10671207902668123</c:v>
                      </c:pt>
                      <c:pt idx="4">
                        <c:v>8.8426995061408054E-2</c:v>
                      </c:pt>
                      <c:pt idx="5">
                        <c:v>7.192163036525169E-2</c:v>
                      </c:pt>
                      <c:pt idx="6">
                        <c:v>5.7401385111166665E-2</c:v>
                      </c:pt>
                      <c:pt idx="7">
                        <c:v>4.4899158003185044E-2</c:v>
                      </c:pt>
                      <c:pt idx="8">
                        <c:v>3.4340907901539569E-2</c:v>
                      </c:pt>
                      <c:pt idx="9">
                        <c:v>2.5595202690606049E-2</c:v>
                      </c:pt>
                      <c:pt idx="10">
                        <c:v>1.8517480102024333E-2</c:v>
                      </c:pt>
                      <c:pt idx="11">
                        <c:v>1.2962596776574542E-2</c:v>
                      </c:pt>
                      <c:pt idx="12">
                        <c:v>8.7646736231386645E-3</c:v>
                      </c:pt>
                      <c:pt idx="13">
                        <c:v>5.7188450696316791E-3</c:v>
                      </c:pt>
                      <c:pt idx="14">
                        <c:v>3.5923443363975343E-3</c:v>
                      </c:pt>
                      <c:pt idx="15">
                        <c:v>2.1580749386121588E-3</c:v>
                      </c:pt>
                      <c:pt idx="16">
                        <c:v>1.223342879099208E-3</c:v>
                      </c:pt>
                      <c:pt idx="17">
                        <c:v>6.4110651930390252E-4</c:v>
                      </c:pt>
                      <c:pt idx="18">
                        <c:v>3.0286159735653481E-4</c:v>
                      </c:pt>
                      <c:pt idx="19">
                        <c:v>1.2517087784936801E-4</c:v>
                      </c:pt>
                      <c:pt idx="20">
                        <c:v>4.3687680612023856E-5</c:v>
                      </c:pt>
                      <c:pt idx="21">
                        <c:v>1.2323796119018593E-5</c:v>
                      </c:pt>
                      <c:pt idx="22">
                        <c:v>2.5601638539826951E-6</c:v>
                      </c:pt>
                      <c:pt idx="23">
                        <c:v>3.4000289003364894E-7</c:v>
                      </c:pt>
                      <c:pt idx="24">
                        <c:v>2.0000010000581783E-8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0FA8-4F01-8C3C-845271740CB6}"/>
                  </c:ext>
                </c:extLst>
              </c15:ser>
            </c15:filteredScatterSeries>
          </c:ext>
        </c:extLst>
      </c:scatterChart>
      <c:valAx>
        <c:axId val="212915446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9153984"/>
        <c:crossesAt val="1.0000000000000005E-8"/>
        <c:crossBetween val="midCat"/>
      </c:valAx>
      <c:valAx>
        <c:axId val="2129153984"/>
        <c:scaling>
          <c:logBase val="2"/>
          <c:orientation val="minMax"/>
          <c:min val="1.0000000000000005E-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29154464"/>
        <c:crossesAt val="1.0000000000000003E-4"/>
        <c:crossBetween val="midCat"/>
        <c:majorUnit val="1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2240201224846895"/>
          <c:y val="0.26967483231262757"/>
          <c:w val="0.19936176727909011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66666666666666E-2"/>
          <c:y val="5.0925925925925923E-2"/>
          <c:w val="0.83825590551181095"/>
          <c:h val="0.79809820647419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hazard_calcs!$C$8</c:f>
              <c:strCache>
                <c:ptCount val="1"/>
                <c:pt idx="0">
                  <c:v>sa(0.5s)-Rock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hazard_calcs!$C$9:$C$30</c:f>
              <c:numCache>
                <c:formatCode>0.00E+00</c:formatCode>
                <c:ptCount val="22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</c:numCache>
            </c:numRef>
          </c:xVal>
          <c:yVal>
            <c:numRef>
              <c:f>hazard_calcs!$B$9:$B$30</c:f>
              <c:numCache>
                <c:formatCode>General</c:formatCode>
                <c:ptCount val="22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7-4CFF-B7AD-92A4260D3034}"/>
            </c:ext>
          </c:extLst>
        </c:ser>
        <c:ser>
          <c:idx val="1"/>
          <c:order val="1"/>
          <c:tx>
            <c:strRef>
              <c:f>hazard_calcs!$N$8</c:f>
              <c:strCache>
                <c:ptCount val="1"/>
                <c:pt idx="0">
                  <c:v>sa(0.5s)-Soil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hazard_calcs!$N$9:$N$30</c:f>
              <c:numCache>
                <c:formatCode>0.00E+00</c:formatCode>
                <c:ptCount val="22"/>
                <c:pt idx="0">
                  <c:v>9.3112182456047841E-4</c:v>
                </c:pt>
                <c:pt idx="1">
                  <c:v>1.3540069306032904E-3</c:v>
                </c:pt>
                <c:pt idx="2">
                  <c:v>1.9689162470040347E-3</c:v>
                </c:pt>
                <c:pt idx="3">
                  <c:v>2.8629303603882909E-3</c:v>
                </c:pt>
                <c:pt idx="4">
                  <c:v>4.1626200856943445E-3</c:v>
                </c:pt>
                <c:pt idx="5">
                  <c:v>6.051808988578166E-3</c:v>
                </c:pt>
                <c:pt idx="6">
                  <c:v>8.7972503980834581E-3</c:v>
                </c:pt>
                <c:pt idx="7">
                  <c:v>1.2785653079648802E-2</c:v>
                </c:pt>
                <c:pt idx="8">
                  <c:v>1.8576597931528441E-2</c:v>
                </c:pt>
                <c:pt idx="9">
                  <c:v>2.6976853694941339E-2</c:v>
                </c:pt>
                <c:pt idx="10">
                  <c:v>3.9145800022976122E-2</c:v>
                </c:pt>
                <c:pt idx="11">
                  <c:v>5.6736707431443115E-2</c:v>
                </c:pt>
                <c:pt idx="12">
                  <c:v>8.2070679948957337E-2</c:v>
                </c:pt>
                <c:pt idx="13">
                  <c:v>0.11838025495919505</c:v>
                </c:pt>
                <c:pt idx="14">
                  <c:v>0.17014793086868105</c:v>
                </c:pt>
                <c:pt idx="15">
                  <c:v>0.24336440300559273</c:v>
                </c:pt>
                <c:pt idx="16">
                  <c:v>0.34566554213908474</c:v>
                </c:pt>
                <c:pt idx="17">
                  <c:v>0.48576692347917855</c:v>
                </c:pt>
                <c:pt idx="18">
                  <c:v>0.6702216336592739</c:v>
                </c:pt>
                <c:pt idx="19">
                  <c:v>0.89706017189911191</c:v>
                </c:pt>
                <c:pt idx="20">
                  <c:v>1.1360931084073935</c:v>
                </c:pt>
                <c:pt idx="21">
                  <c:v>1.2809036068138522</c:v>
                </c:pt>
              </c:numCache>
            </c:numRef>
          </c:xVal>
          <c:yVal>
            <c:numRef>
              <c:f>hazard_calcs!$B$9:$B$30</c:f>
              <c:numCache>
                <c:formatCode>General</c:formatCode>
                <c:ptCount val="22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D17-4CFF-B7AD-92A4260D3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6002559"/>
        <c:axId val="1425997279"/>
      </c:scatterChart>
      <c:valAx>
        <c:axId val="1426002559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SA [g]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5997279"/>
        <c:crossesAt val="1.0000000000000004E-5"/>
        <c:crossBetween val="midCat"/>
      </c:valAx>
      <c:valAx>
        <c:axId val="1425997279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MAFE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26002559"/>
        <c:crossesAt val="1.0000000000000003E-4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154068241469821"/>
          <c:y val="0.17187445319335085"/>
          <c:w val="0.23012598425196851"/>
          <c:h val="0.156251093613298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38495188101487"/>
          <c:y val="5.3622503261871533E-2"/>
          <c:w val="0.81361352857208624"/>
          <c:h val="0.87072675089960538"/>
        </c:manualLayout>
      </c:layout>
      <c:scatterChart>
        <c:scatterStyle val="lineMarker"/>
        <c:varyColors val="0"/>
        <c:ser>
          <c:idx val="0"/>
          <c:order val="0"/>
          <c:tx>
            <c:v>ESHM20 - Mean</c:v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hazard_calcs!$B$9:$B$33</c:f>
              <c:numCache>
                <c:formatCode>General</c:formatCode>
                <c:ptCount val="25"/>
                <c:pt idx="0">
                  <c:v>0.16636684665341964</c:v>
                </c:pt>
                <c:pt idx="1">
                  <c:v>0.14658699538040401</c:v>
                </c:pt>
                <c:pt idx="2">
                  <c:v>0.12634389374394644</c:v>
                </c:pt>
                <c:pt idx="3">
                  <c:v>0.10671207902668123</c:v>
                </c:pt>
                <c:pt idx="4">
                  <c:v>8.8426995061408054E-2</c:v>
                </c:pt>
                <c:pt idx="5">
                  <c:v>7.192163036525169E-2</c:v>
                </c:pt>
                <c:pt idx="6">
                  <c:v>5.7401385111166665E-2</c:v>
                </c:pt>
                <c:pt idx="7">
                  <c:v>4.4899158003185044E-2</c:v>
                </c:pt>
                <c:pt idx="8">
                  <c:v>3.4340907901539569E-2</c:v>
                </c:pt>
                <c:pt idx="9">
                  <c:v>2.5595202690606049E-2</c:v>
                </c:pt>
                <c:pt idx="10">
                  <c:v>1.8517480102024333E-2</c:v>
                </c:pt>
                <c:pt idx="11">
                  <c:v>1.2962596776574542E-2</c:v>
                </c:pt>
                <c:pt idx="12">
                  <c:v>8.7646736231386645E-3</c:v>
                </c:pt>
                <c:pt idx="13">
                  <c:v>5.7188450696316791E-3</c:v>
                </c:pt>
                <c:pt idx="14">
                  <c:v>3.5923443363975343E-3</c:v>
                </c:pt>
                <c:pt idx="15">
                  <c:v>2.1580749386121588E-3</c:v>
                </c:pt>
                <c:pt idx="16">
                  <c:v>1.223342879099208E-3</c:v>
                </c:pt>
                <c:pt idx="17">
                  <c:v>6.4110651930390252E-4</c:v>
                </c:pt>
                <c:pt idx="18">
                  <c:v>3.0286159735653481E-4</c:v>
                </c:pt>
                <c:pt idx="19">
                  <c:v>1.2517087784936801E-4</c:v>
                </c:pt>
                <c:pt idx="20">
                  <c:v>4.3687680612023856E-5</c:v>
                </c:pt>
                <c:pt idx="21">
                  <c:v>1.2323796119018593E-5</c:v>
                </c:pt>
                <c:pt idx="22">
                  <c:v>2.5601638539826951E-6</c:v>
                </c:pt>
                <c:pt idx="23">
                  <c:v>3.4000289003364894E-7</c:v>
                </c:pt>
                <c:pt idx="24">
                  <c:v>2.0000010000581783E-8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46-43A5-9AA0-B68A57F547EF}"/>
            </c:ext>
          </c:extLst>
        </c:ser>
        <c:ser>
          <c:idx val="1"/>
          <c:order val="1"/>
          <c:tx>
            <c:v>1st. Order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hazard_calcs!$C$9:$C$33</c:f>
              <c:numCache>
                <c:formatCode>0.00E+00</c:formatCode>
                <c:ptCount val="25"/>
                <c:pt idx="0">
                  <c:v>5.0000000000000001E-4</c:v>
                </c:pt>
                <c:pt idx="1">
                  <c:v>7.2710799999999899E-4</c:v>
                </c:pt>
                <c:pt idx="2">
                  <c:v>1.0573710000000001E-3</c:v>
                </c:pt>
                <c:pt idx="3">
                  <c:v>1.53764599999999E-3</c:v>
                </c:pt>
                <c:pt idx="4">
                  <c:v>2.2360679999999899E-3</c:v>
                </c:pt>
                <c:pt idx="5">
                  <c:v>3.251725E-3</c:v>
                </c:pt>
                <c:pt idx="6">
                  <c:v>4.7287079999999903E-3</c:v>
                </c:pt>
                <c:pt idx="7">
                  <c:v>6.8765600000000003E-3</c:v>
                </c:pt>
                <c:pt idx="8">
                  <c:v>0.01</c:v>
                </c:pt>
                <c:pt idx="9">
                  <c:v>1.4542153999999899E-2</c:v>
                </c:pt>
                <c:pt idx="10">
                  <c:v>2.1147425000000001E-2</c:v>
                </c:pt>
                <c:pt idx="11">
                  <c:v>3.0752912E-2</c:v>
                </c:pt>
                <c:pt idx="12">
                  <c:v>4.4721360000000002E-2</c:v>
                </c:pt>
                <c:pt idx="13">
                  <c:v>6.5034490999999903E-2</c:v>
                </c:pt>
                <c:pt idx="14">
                  <c:v>9.4574161000000004E-2</c:v>
                </c:pt>
                <c:pt idx="15">
                  <c:v>0.13753120399999899</c:v>
                </c:pt>
                <c:pt idx="16">
                  <c:v>0.2</c:v>
                </c:pt>
                <c:pt idx="17">
                  <c:v>0.290843087</c:v>
                </c:pt>
                <c:pt idx="18">
                  <c:v>0.42294850499999898</c:v>
                </c:pt>
                <c:pt idx="19">
                  <c:v>0.61505824399999898</c:v>
                </c:pt>
                <c:pt idx="20">
                  <c:v>0.89442719100000001</c:v>
                </c:pt>
                <c:pt idx="21">
                  <c:v>1.3006898250000001</c:v>
                </c:pt>
                <c:pt idx="22">
                  <c:v>1.8914832180000001</c:v>
                </c:pt>
                <c:pt idx="23">
                  <c:v>2.7506240879999901</c:v>
                </c:pt>
                <c:pt idx="24">
                  <c:v>4</c:v>
                </c:pt>
              </c:numCache>
            </c:numRef>
          </c:xVal>
          <c:yVal>
            <c:numRef>
              <c:f>hazard_calcs!$O$9:$O$33</c:f>
              <c:numCache>
                <c:formatCode>0.00E+00</c:formatCode>
                <c:ptCount val="25"/>
                <c:pt idx="0">
                  <c:v>44.944914344809568</c:v>
                </c:pt>
                <c:pt idx="1">
                  <c:v>23.192709964052042</c:v>
                </c:pt>
                <c:pt idx="2">
                  <c:v>11.968045341636087</c:v>
                </c:pt>
                <c:pt idx="3">
                  <c:v>6.1758121700858331</c:v>
                </c:pt>
                <c:pt idx="4">
                  <c:v>3.1868784876240697</c:v>
                </c:pt>
                <c:pt idx="5">
                  <c:v>1.6445104897064631</c:v>
                </c:pt>
                <c:pt idx="6">
                  <c:v>0.84860971090280923</c:v>
                </c:pt>
                <c:pt idx="7">
                  <c:v>0.43790434379330073</c:v>
                </c:pt>
                <c:pt idx="8">
                  <c:v>0.22596983449736632</c:v>
                </c:pt>
                <c:pt idx="9">
                  <c:v>0.1166062218362072</c:v>
                </c:pt>
                <c:pt idx="10">
                  <c:v>6.0171793290029398E-2</c:v>
                </c:pt>
                <c:pt idx="11">
                  <c:v>3.1050184780783092E-2</c:v>
                </c:pt>
                <c:pt idx="12">
                  <c:v>1.6022689439050771E-2</c:v>
                </c:pt>
                <c:pt idx="13">
                  <c:v>8.2681179720617663E-3</c:v>
                </c:pt>
                <c:pt idx="14">
                  <c:v>4.2665604137559635E-3</c:v>
                </c:pt>
                <c:pt idx="15">
                  <c:v>2.2016543684729786E-3</c:v>
                </c:pt>
                <c:pt idx="16">
                  <c:v>1.1361099881295926E-3</c:v>
                </c:pt>
                <c:pt idx="17">
                  <c:v>5.8626182546683489E-4</c:v>
                </c:pt>
                <c:pt idx="18">
                  <c:v>3.0252610524187002E-4</c:v>
                </c:pt>
                <c:pt idx="19">
                  <c:v>1.5611121163960993E-4</c:v>
                </c:pt>
                <c:pt idx="20">
                  <c:v>8.0557380026032135E-5</c:v>
                </c:pt>
                <c:pt idx="21">
                  <c:v>4.1569669545449453E-5</c:v>
                </c:pt>
                <c:pt idx="22">
                  <c:v>2.1451013233088729E-5</c:v>
                </c:pt>
                <c:pt idx="23">
                  <c:v>1.1069271750992376E-5</c:v>
                </c:pt>
                <c:pt idx="24">
                  <c:v>5.7120274836633856E-6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46-43A5-9AA0-B68A57F54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64928"/>
        <c:axId val="94876448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2"/>
                <c:tx>
                  <c:v>2nd. Order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hazard_calcs!$C$9:$C$33</c15:sqref>
                        </c15:formulaRef>
                      </c:ext>
                    </c:extLst>
                    <c:numCache>
                      <c:formatCode>0.00E+00</c:formatCode>
                      <c:ptCount val="25"/>
                      <c:pt idx="0">
                        <c:v>5.0000000000000001E-4</c:v>
                      </c:pt>
                      <c:pt idx="1">
                        <c:v>7.2710799999999899E-4</c:v>
                      </c:pt>
                      <c:pt idx="2">
                        <c:v>1.0573710000000001E-3</c:v>
                      </c:pt>
                      <c:pt idx="3">
                        <c:v>1.53764599999999E-3</c:v>
                      </c:pt>
                      <c:pt idx="4">
                        <c:v>2.2360679999999899E-3</c:v>
                      </c:pt>
                      <c:pt idx="5">
                        <c:v>3.251725E-3</c:v>
                      </c:pt>
                      <c:pt idx="6">
                        <c:v>4.7287079999999903E-3</c:v>
                      </c:pt>
                      <c:pt idx="7">
                        <c:v>6.8765600000000003E-3</c:v>
                      </c:pt>
                      <c:pt idx="8">
                        <c:v>0.01</c:v>
                      </c:pt>
                      <c:pt idx="9">
                        <c:v>1.4542153999999899E-2</c:v>
                      </c:pt>
                      <c:pt idx="10">
                        <c:v>2.1147425000000001E-2</c:v>
                      </c:pt>
                      <c:pt idx="11">
                        <c:v>3.0752912E-2</c:v>
                      </c:pt>
                      <c:pt idx="12">
                        <c:v>4.4721360000000002E-2</c:v>
                      </c:pt>
                      <c:pt idx="13">
                        <c:v>6.5034490999999903E-2</c:v>
                      </c:pt>
                      <c:pt idx="14">
                        <c:v>9.4574161000000004E-2</c:v>
                      </c:pt>
                      <c:pt idx="15">
                        <c:v>0.13753120399999899</c:v>
                      </c:pt>
                      <c:pt idx="16">
                        <c:v>0.2</c:v>
                      </c:pt>
                      <c:pt idx="17">
                        <c:v>0.290843087</c:v>
                      </c:pt>
                      <c:pt idx="18">
                        <c:v>0.42294850499999898</c:v>
                      </c:pt>
                      <c:pt idx="19">
                        <c:v>0.61505824399999898</c:v>
                      </c:pt>
                      <c:pt idx="20">
                        <c:v>0.89442719100000001</c:v>
                      </c:pt>
                      <c:pt idx="21">
                        <c:v>1.3006898250000001</c:v>
                      </c:pt>
                      <c:pt idx="22">
                        <c:v>1.8914832180000001</c:v>
                      </c:pt>
                      <c:pt idx="23">
                        <c:v>2.7506240879999901</c:v>
                      </c:pt>
                      <c:pt idx="24">
                        <c:v>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hazard_calcs!$P$9:$P$33</c15:sqref>
                        </c15:formulaRef>
                      </c:ext>
                    </c:extLst>
                    <c:numCache>
                      <c:formatCode>0.00E+00</c:formatCode>
                      <c:ptCount val="25"/>
                      <c:pt idx="0">
                        <c:v>0.10132659899562353</c:v>
                      </c:pt>
                      <c:pt idx="1">
                        <c:v>0.10636597931488398</c:v>
                      </c:pt>
                      <c:pt idx="2">
                        <c:v>0.10690815298963843</c:v>
                      </c:pt>
                      <c:pt idx="3">
                        <c:v>0.10288397152685337</c:v>
                      </c:pt>
                      <c:pt idx="4">
                        <c:v>9.4801122422669637E-2</c:v>
                      </c:pt>
                      <c:pt idx="5">
                        <c:v>8.3638844777824545E-2</c:v>
                      </c:pt>
                      <c:pt idx="6">
                        <c:v>7.065313623060944E-2</c:v>
                      </c:pt>
                      <c:pt idx="7">
                        <c:v>5.7145714975904684E-2</c:v>
                      </c:pt>
                      <c:pt idx="8">
                        <c:v>4.4255240731599234E-2</c:v>
                      </c:pt>
                      <c:pt idx="9">
                        <c:v>3.281516461569501E-2</c:v>
                      </c:pt>
                      <c:pt idx="10">
                        <c:v>2.3297712463395934E-2</c:v>
                      </c:pt>
                      <c:pt idx="11">
                        <c:v>1.5837287527302724E-2</c:v>
                      </c:pt>
                      <c:pt idx="12">
                        <c:v>1.0308064836204653E-2</c:v>
                      </c:pt>
                      <c:pt idx="13">
                        <c:v>6.4239525347841477E-3</c:v>
                      </c:pt>
                      <c:pt idx="14">
                        <c:v>3.8331544651400498E-3</c:v>
                      </c:pt>
                      <c:pt idx="15">
                        <c:v>2.1899749580102956E-3</c:v>
                      </c:pt>
                      <c:pt idx="16">
                        <c:v>1.1979833950896547E-3</c:v>
                      </c:pt>
                      <c:pt idx="17">
                        <c:v>6.274675559833911E-4</c:v>
                      </c:pt>
                      <c:pt idx="18">
                        <c:v>3.1467379634428415E-4</c:v>
                      </c:pt>
                      <c:pt idx="19">
                        <c:v>1.5109799723396424E-4</c:v>
                      </c:pt>
                      <c:pt idx="20">
                        <c:v>6.946813865875194E-5</c:v>
                      </c:pt>
                      <c:pt idx="21">
                        <c:v>3.0580278978545332E-5</c:v>
                      </c:pt>
                      <c:pt idx="22">
                        <c:v>1.2889202566460531E-5</c:v>
                      </c:pt>
                      <c:pt idx="23">
                        <c:v>5.201630288107375E-6</c:v>
                      </c:pt>
                      <c:pt idx="24">
                        <c:v>2.0099337318213247E-6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0B46-43A5-9AA0-B68A57F547EF}"/>
                  </c:ext>
                </c:extLst>
              </c15:ser>
            </c15:filteredScatterSeries>
            <c15:filteredScatterSeries>
              <c15:ser>
                <c:idx val="5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hazard_calcs!$AD$8</c15:sqref>
                        </c15:formulaRef>
                      </c:ext>
                    </c:extLst>
                    <c:strCache>
                      <c:ptCount val="1"/>
                      <c:pt idx="0">
                        <c:v>1st. O (k1=3)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hazard_calcs!$C$9:$C$33</c15:sqref>
                        </c15:formulaRef>
                      </c:ext>
                    </c:extLst>
                    <c:numCache>
                      <c:formatCode>0.00E+00</c:formatCode>
                      <c:ptCount val="25"/>
                      <c:pt idx="0">
                        <c:v>5.0000000000000001E-4</c:v>
                      </c:pt>
                      <c:pt idx="1">
                        <c:v>7.2710799999999899E-4</c:v>
                      </c:pt>
                      <c:pt idx="2">
                        <c:v>1.0573710000000001E-3</c:v>
                      </c:pt>
                      <c:pt idx="3">
                        <c:v>1.53764599999999E-3</c:v>
                      </c:pt>
                      <c:pt idx="4">
                        <c:v>2.2360679999999899E-3</c:v>
                      </c:pt>
                      <c:pt idx="5">
                        <c:v>3.251725E-3</c:v>
                      </c:pt>
                      <c:pt idx="6">
                        <c:v>4.7287079999999903E-3</c:v>
                      </c:pt>
                      <c:pt idx="7">
                        <c:v>6.8765600000000003E-3</c:v>
                      </c:pt>
                      <c:pt idx="8">
                        <c:v>0.01</c:v>
                      </c:pt>
                      <c:pt idx="9">
                        <c:v>1.4542153999999899E-2</c:v>
                      </c:pt>
                      <c:pt idx="10">
                        <c:v>2.1147425000000001E-2</c:v>
                      </c:pt>
                      <c:pt idx="11">
                        <c:v>3.0752912E-2</c:v>
                      </c:pt>
                      <c:pt idx="12">
                        <c:v>4.4721360000000002E-2</c:v>
                      </c:pt>
                      <c:pt idx="13">
                        <c:v>6.5034490999999903E-2</c:v>
                      </c:pt>
                      <c:pt idx="14">
                        <c:v>9.4574161000000004E-2</c:v>
                      </c:pt>
                      <c:pt idx="15">
                        <c:v>0.13753120399999899</c:v>
                      </c:pt>
                      <c:pt idx="16">
                        <c:v>0.2</c:v>
                      </c:pt>
                      <c:pt idx="17">
                        <c:v>0.290843087</c:v>
                      </c:pt>
                      <c:pt idx="18">
                        <c:v>0.42294850499999898</c:v>
                      </c:pt>
                      <c:pt idx="19">
                        <c:v>0.61505824399999898</c:v>
                      </c:pt>
                      <c:pt idx="20">
                        <c:v>0.89442719100000001</c:v>
                      </c:pt>
                      <c:pt idx="21">
                        <c:v>1.3006898250000001</c:v>
                      </c:pt>
                      <c:pt idx="22">
                        <c:v>1.8914832180000001</c:v>
                      </c:pt>
                      <c:pt idx="23">
                        <c:v>2.7506240879999901</c:v>
                      </c:pt>
                      <c:pt idx="24">
                        <c:v>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hazard_calcs!$AD$9:$AD$33</c15:sqref>
                        </c15:formulaRef>
                      </c:ext>
                    </c:extLst>
                    <c:numCache>
                      <c:formatCode>0.00E+00</c:formatCode>
                      <c:ptCount val="25"/>
                      <c:pt idx="0">
                        <c:v>47273.095303205642</c:v>
                      </c:pt>
                      <c:pt idx="1">
                        <c:v>15371.890550905542</c:v>
                      </c:pt>
                      <c:pt idx="2">
                        <c:v>4998.5249868468045</c:v>
                      </c:pt>
                      <c:pt idx="3">
                        <c:v>1625.3801968497455</c:v>
                      </c:pt>
                      <c:pt idx="4">
                        <c:v>528.52925706915801</c:v>
                      </c:pt>
                      <c:pt idx="5">
                        <c:v>171.86309267110764</c:v>
                      </c:pt>
                      <c:pt idx="6">
                        <c:v>55.885168114298068</c:v>
                      </c:pt>
                      <c:pt idx="7">
                        <c:v>18.172318607041966</c:v>
                      </c:pt>
                      <c:pt idx="8">
                        <c:v>5.9091369129007054</c:v>
                      </c:pt>
                      <c:pt idx="9">
                        <c:v>1.9214886972432097</c:v>
                      </c:pt>
                      <c:pt idx="10">
                        <c:v>0.62481518017035009</c:v>
                      </c:pt>
                      <c:pt idx="11">
                        <c:v>0.20317268316491782</c:v>
                      </c:pt>
                      <c:pt idx="12">
                        <c:v>6.6066157133643846E-2</c:v>
                      </c:pt>
                      <c:pt idx="13">
                        <c:v>2.1482895502817709E-2</c:v>
                      </c:pt>
                      <c:pt idx="14">
                        <c:v>6.9856457926945762E-3</c:v>
                      </c:pt>
                      <c:pt idx="15">
                        <c:v>2.2715396276818049E-3</c:v>
                      </c:pt>
                      <c:pt idx="16">
                        <c:v>7.3864211411258805E-4</c:v>
                      </c:pt>
                      <c:pt idx="17">
                        <c:v>2.4018606981302866E-4</c:v>
                      </c:pt>
                      <c:pt idx="18">
                        <c:v>7.8101894751386321E-5</c:v>
                      </c:pt>
                      <c:pt idx="19">
                        <c:v>2.5396584900118657E-5</c:v>
                      </c:pt>
                      <c:pt idx="20">
                        <c:v>8.2582698909971899E-6</c:v>
                      </c:pt>
                      <c:pt idx="21">
                        <c:v>2.6853619068836881E-6</c:v>
                      </c:pt>
                      <c:pt idx="22">
                        <c:v>8.7320572685672986E-7</c:v>
                      </c:pt>
                      <c:pt idx="23">
                        <c:v>2.8394245098274142E-7</c:v>
                      </c:pt>
                      <c:pt idx="24">
                        <c:v>9.2330264264073531E-8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B46-43A5-9AA0-B68A57F547EF}"/>
                  </c:ext>
                </c:extLst>
              </c15:ser>
            </c15:filteredScatterSeries>
          </c:ext>
        </c:extLst>
      </c:scatterChart>
      <c:valAx>
        <c:axId val="9486492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E+0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876448"/>
        <c:crossesAt val="1.0000000000000005E-9"/>
        <c:crossBetween val="midCat"/>
      </c:valAx>
      <c:valAx>
        <c:axId val="9487644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E+00" sourceLinked="0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864928"/>
        <c:crossesAt val="1.0000000000000004E-5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19</xdr:row>
      <xdr:rowOff>183832</xdr:rowOff>
    </xdr:from>
    <xdr:to>
      <xdr:col>16</xdr:col>
      <xdr:colOff>419100</xdr:colOff>
      <xdr:row>41</xdr:row>
      <xdr:rowOff>104366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CF0E03C-8DD0-BF9A-0F39-3B2B41C29B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552450</xdr:colOff>
      <xdr:row>19</xdr:row>
      <xdr:rowOff>171450</xdr:rowOff>
    </xdr:from>
    <xdr:to>
      <xdr:col>22</xdr:col>
      <xdr:colOff>685800</xdr:colOff>
      <xdr:row>41</xdr:row>
      <xdr:rowOff>91984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645DEEC-B0CC-4692-AA43-30EE74ADAF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43</xdr:row>
      <xdr:rowOff>0</xdr:rowOff>
    </xdr:from>
    <xdr:to>
      <xdr:col>20</xdr:col>
      <xdr:colOff>189825</xdr:colOff>
      <xdr:row>64</xdr:row>
      <xdr:rowOff>112858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4397E269-6D00-42FD-9894-2F8392CB0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457200</xdr:colOff>
      <xdr:row>11</xdr:row>
      <xdr:rowOff>138112</xdr:rowOff>
    </xdr:from>
    <xdr:to>
      <xdr:col>15</xdr:col>
      <xdr:colOff>657225</xdr:colOff>
      <xdr:row>25</xdr:row>
      <xdr:rowOff>138112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37AB18FB-E3C8-5B1A-E24E-54DBFDCEDC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47625</xdr:colOff>
      <xdr:row>2</xdr:row>
      <xdr:rowOff>71437</xdr:rowOff>
    </xdr:from>
    <xdr:to>
      <xdr:col>27</xdr:col>
      <xdr:colOff>581025</xdr:colOff>
      <xdr:row>22</xdr:row>
      <xdr:rowOff>104775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2FEFF55B-84BC-446F-995A-45B6EFDB6D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76200</xdr:colOff>
      <xdr:row>34</xdr:row>
      <xdr:rowOff>23812</xdr:rowOff>
    </xdr:from>
    <xdr:to>
      <xdr:col>14</xdr:col>
      <xdr:colOff>76200</xdr:colOff>
      <xdr:row>48</xdr:row>
      <xdr:rowOff>100012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3D789260-4E0D-4584-8F58-86FAEEF907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133350</xdr:colOff>
      <xdr:row>34</xdr:row>
      <xdr:rowOff>42862</xdr:rowOff>
    </xdr:from>
    <xdr:to>
      <xdr:col>8</xdr:col>
      <xdr:colOff>323850</xdr:colOff>
      <xdr:row>48</xdr:row>
      <xdr:rowOff>119062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3FA72A6C-6033-4447-91B6-6C1BF7AAEA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26</xdr:row>
      <xdr:rowOff>0</xdr:rowOff>
    </xdr:from>
    <xdr:to>
      <xdr:col>26</xdr:col>
      <xdr:colOff>571500</xdr:colOff>
      <xdr:row>43</xdr:row>
      <xdr:rowOff>129382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B9CB1424-275F-43B9-A369-C92129C37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icholas Aaron Clemett" id="{F8FAB4D6-0646-4D7A-9FD8-8EEAB63AFC0A}" userId="S::clemettn@hsu.hamburg::184f1440-b1a5-4a11-afd7-3d264db8bc34" providerId="AD"/>
</personList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8-14T14:09:23.23" personId="{F8FAB4D6-0646-4D7A-9FD8-8EEAB63AFC0A}" id="{1D517CA1-7958-40C0-9A87-78B8918D6B88}">
    <text>Calculated according to then 2nd gen code</text>
  </threadedComment>
  <threadedComment ref="L8" dT="2025-08-14T07:27:58.42" personId="{F8FAB4D6-0646-4D7A-9FD8-8EEAB63AFC0A}" id="{B8607203-1D76-458B-8E2F-671AA35A75D4}">
    <text>Linear interpolation between (Tc, Fa) and (Tb, Fb)</text>
  </threadedComment>
  <threadedComment ref="M8" dT="2025-08-14T07:27:58.42" personId="{F8FAB4D6-0646-4D7A-9FD8-8EEAB63AFC0A}" id="{57F66C79-8603-4887-820B-B94AA7F911DA}">
    <text>Linear interpolation between (T=0.2, Fa) and (T=1.0, Fb)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62F1E-BAC5-4CCE-BE3B-BEB8033F4B05}">
  <sheetPr codeName="Tabelle2"/>
  <dimension ref="B2:P61"/>
  <sheetViews>
    <sheetView tabSelected="1" topLeftCell="A18" zoomScale="47" workbookViewId="0">
      <selection activeCell="S69" sqref="S69"/>
    </sheetView>
  </sheetViews>
  <sheetFormatPr baseColWidth="10" defaultRowHeight="15" x14ac:dyDescent="0.25"/>
  <cols>
    <col min="2" max="2" width="25.140625" customWidth="1"/>
    <col min="3" max="3" width="12" bestFit="1" customWidth="1"/>
    <col min="4" max="4" width="12.42578125" bestFit="1" customWidth="1"/>
    <col min="5" max="5" width="15" bestFit="1" customWidth="1"/>
    <col min="6" max="7" width="13.140625" bestFit="1" customWidth="1"/>
    <col min="8" max="8" width="11.28515625" bestFit="1" customWidth="1"/>
    <col min="9" max="9" width="11.7109375" bestFit="1" customWidth="1"/>
    <col min="10" max="12" width="11.5703125" bestFit="1" customWidth="1"/>
    <col min="13" max="13" width="12.140625" bestFit="1" customWidth="1"/>
    <col min="14" max="16" width="11.5703125" bestFit="1" customWidth="1"/>
  </cols>
  <sheetData>
    <row r="2" spans="2:16" x14ac:dyDescent="0.25">
      <c r="B2" s="3" t="s">
        <v>25</v>
      </c>
      <c r="C2" s="14" t="s">
        <v>16</v>
      </c>
    </row>
    <row r="3" spans="2:16" x14ac:dyDescent="0.25">
      <c r="B3" s="3" t="s">
        <v>17</v>
      </c>
      <c r="C3" s="14" t="s">
        <v>18</v>
      </c>
    </row>
    <row r="4" spans="2:16" x14ac:dyDescent="0.25">
      <c r="B4" s="3" t="s">
        <v>19</v>
      </c>
      <c r="C4" s="14" t="s">
        <v>20</v>
      </c>
    </row>
    <row r="5" spans="2:16" x14ac:dyDescent="0.25">
      <c r="B5" s="3" t="s">
        <v>21</v>
      </c>
      <c r="C5" s="14" t="s">
        <v>24</v>
      </c>
    </row>
    <row r="6" spans="2:16" x14ac:dyDescent="0.25">
      <c r="B6" s="3" t="s">
        <v>22</v>
      </c>
      <c r="C6" s="14" t="s">
        <v>23</v>
      </c>
    </row>
    <row r="7" spans="2:16" x14ac:dyDescent="0.25">
      <c r="B7" s="3" t="s">
        <v>38</v>
      </c>
      <c r="C7" t="s">
        <v>40</v>
      </c>
      <c r="D7" s="14">
        <v>0.5</v>
      </c>
      <c r="E7" t="s">
        <v>39</v>
      </c>
    </row>
    <row r="8" spans="2:16" x14ac:dyDescent="0.25">
      <c r="B8" s="3" t="s">
        <v>27</v>
      </c>
      <c r="C8" t="s">
        <v>2</v>
      </c>
      <c r="D8" s="42">
        <f>hazard_calcs!T7</f>
        <v>6.6144864949561013E-5</v>
      </c>
    </row>
    <row r="9" spans="2:16" x14ac:dyDescent="0.25">
      <c r="B9" s="3" t="s">
        <v>26</v>
      </c>
      <c r="C9" t="s">
        <v>3</v>
      </c>
      <c r="D9" s="43">
        <f>hazard_calcs!T8</f>
        <v>1.7667771667260399</v>
      </c>
    </row>
    <row r="10" spans="2:16" x14ac:dyDescent="0.25">
      <c r="M10" s="2"/>
    </row>
    <row r="11" spans="2:16" x14ac:dyDescent="0.25">
      <c r="B11" t="s">
        <v>5</v>
      </c>
      <c r="C11" s="1" t="s">
        <v>0</v>
      </c>
      <c r="D11" s="14">
        <v>0.4</v>
      </c>
    </row>
    <row r="13" spans="2:16" x14ac:dyDescent="0.25">
      <c r="B13" t="s">
        <v>10</v>
      </c>
      <c r="C13" t="s">
        <v>11</v>
      </c>
      <c r="D13" s="14">
        <v>3600</v>
      </c>
      <c r="E13" t="s">
        <v>12</v>
      </c>
      <c r="F13" t="s">
        <v>136</v>
      </c>
    </row>
    <row r="15" spans="2:16" ht="18" x14ac:dyDescent="0.35">
      <c r="B15" t="s">
        <v>6</v>
      </c>
      <c r="C15" s="1" t="s">
        <v>1</v>
      </c>
      <c r="D15" s="2">
        <v>5.0000000000000001E-4</v>
      </c>
      <c r="E15" s="27">
        <v>2.0000000000000001E-4</v>
      </c>
      <c r="F15" s="27">
        <v>1.1400000000000001E-4</v>
      </c>
      <c r="G15" s="27">
        <v>1.13E-4</v>
      </c>
      <c r="H15" s="27">
        <v>9.0000000000000006E-5</v>
      </c>
      <c r="I15" s="27">
        <v>8.0000000000000007E-5</v>
      </c>
      <c r="J15" s="27">
        <v>6.9999999999999994E-5</v>
      </c>
      <c r="K15" s="27">
        <v>6.0000000000000002E-5</v>
      </c>
      <c r="L15" s="27">
        <v>5.0000000000000002E-5</v>
      </c>
      <c r="M15" s="2">
        <v>4.0000000000000003E-5</v>
      </c>
      <c r="N15" s="27">
        <v>3.0000000000000001E-5</v>
      </c>
      <c r="O15" s="2">
        <v>2.0000000000000002E-5</v>
      </c>
      <c r="P15" s="27">
        <v>1.0000000000000001E-5</v>
      </c>
    </row>
    <row r="16" spans="2:16" x14ac:dyDescent="0.25">
      <c r="B16" s="1" t="s">
        <v>123</v>
      </c>
      <c r="C16" s="1"/>
      <c r="D16" s="9">
        <f>(1-EXP(-D15*50))*100</f>
        <v>2.4690087971667385</v>
      </c>
      <c r="E16" s="9">
        <f>(1-EXP(-E15*50))*100</f>
        <v>0.99501662508318933</v>
      </c>
      <c r="F16" s="9">
        <f>(1-EXP(-F15*50))*100</f>
        <v>0.56837858215668113</v>
      </c>
      <c r="G16" s="9">
        <f>(1-EXP(-G15*50))*100</f>
        <v>0.56340687679418133</v>
      </c>
      <c r="H16" s="9">
        <f t="shared" ref="H16:M16" si="0">(1-EXP(-H15*50))*100</f>
        <v>0.44898901704294447</v>
      </c>
      <c r="I16" s="9">
        <f t="shared" si="0"/>
        <v>0.39920106560085156</v>
      </c>
      <c r="J16" s="9">
        <f t="shared" si="0"/>
        <v>0.34938821395851249</v>
      </c>
      <c r="K16" s="9">
        <f t="shared" si="0"/>
        <v>0.29955044966269995</v>
      </c>
      <c r="L16" s="9">
        <f t="shared" si="0"/>
        <v>0.24968776025399153</v>
      </c>
      <c r="M16" s="9">
        <f t="shared" si="0"/>
        <v>0.1998001332666921</v>
      </c>
      <c r="N16" s="9">
        <f>(1-EXP(-N15*50))*100</f>
        <v>0.14988755622891148</v>
      </c>
      <c r="O16" s="9">
        <f>(1-EXP(-O15*50))*100</f>
        <v>9.9950016662497809E-2</v>
      </c>
      <c r="P16" s="9">
        <f>(1-EXP(-P15*50))*100</f>
        <v>4.99875020830709E-2</v>
      </c>
    </row>
    <row r="17" spans="2:16" ht="18" x14ac:dyDescent="0.35">
      <c r="B17" t="s">
        <v>7</v>
      </c>
      <c r="C17" s="1" t="s">
        <v>4</v>
      </c>
      <c r="D17" s="31">
        <f>EXP((0.5*$D$9*$D$11^2) - (LN(D15/$D$8)/$D$9))</f>
        <v>0.36657755060698383</v>
      </c>
      <c r="E17" s="31">
        <f>EXP((0.5*$D$9*$D$11^2) - (LN(E15/$D$8)/$D$9))</f>
        <v>0.61574492170230566</v>
      </c>
      <c r="F17" s="31">
        <f>EXP((0.5*$D$9*$D$11^2) - (LN(F15/$D$8)/$D$9))</f>
        <v>0.84640114109884867</v>
      </c>
      <c r="G17" s="9">
        <f t="shared" ref="G17:L17" si="1">EXP((0.5*$D$9*$D$11^2) - (LN(G15/$D$8)/$D$9))</f>
        <v>0.85063254749347683</v>
      </c>
      <c r="H17" s="9">
        <f t="shared" si="1"/>
        <v>0.9675721631859393</v>
      </c>
      <c r="I17" s="9">
        <f t="shared" si="1"/>
        <v>1.0342744883705801</v>
      </c>
      <c r="J17" s="9">
        <f t="shared" si="1"/>
        <v>1.1154738401512225</v>
      </c>
      <c r="K17" s="9">
        <f t="shared" si="1"/>
        <v>1.217170530619212</v>
      </c>
      <c r="L17" s="9">
        <f t="shared" si="1"/>
        <v>1.3494854270401695</v>
      </c>
      <c r="M17" s="9">
        <f t="shared" ref="M17" si="2">EXP((0.5*$D$9*$D$11^2) - (LN(M15/$D$8)/$D$9))</f>
        <v>1.5311561834619996</v>
      </c>
      <c r="N17" s="9">
        <f>EXP((0.5*$D$9*$D$11^2) - (LN(N15/$D$8)/$D$9))</f>
        <v>1.8019183545959947</v>
      </c>
      <c r="O17" s="9">
        <f>EXP((0.5*$D$9*$D$11^2) - (LN(O15/$D$8)/$D$9))</f>
        <v>2.2667476424439323</v>
      </c>
      <c r="P17" s="9">
        <f>EXP((0.5*$D$9*$D$11^2) - (LN(P15/$D$8)/$D$9))</f>
        <v>3.3557287819637018</v>
      </c>
    </row>
    <row r="18" spans="2:16" ht="18" x14ac:dyDescent="0.35">
      <c r="B18" t="s">
        <v>8</v>
      </c>
      <c r="C18" s="1" t="s">
        <v>14</v>
      </c>
      <c r="D18" s="9">
        <f>IF(D17&lt;0.85, 0, 0.119*D17 - 0.023)</f>
        <v>0</v>
      </c>
      <c r="E18" s="9">
        <f>IF(E17&lt;0.85, 0, 0.119*E17 - 0.023)</f>
        <v>0</v>
      </c>
      <c r="F18" s="9">
        <f>IF(F17&lt;0.85, 0, 0.119*F17 - 0.023)</f>
        <v>0</v>
      </c>
      <c r="G18" s="9">
        <f>IF(G17&lt;0.85, 0, 0.119*G17 - 0.023)</f>
        <v>7.8225273151723729E-2</v>
      </c>
      <c r="H18" s="9">
        <f t="shared" ref="H18:M18" si="3">IF(H17&lt;0.85, 0, 0.119*H17 - 0.023)</f>
        <v>9.2141087419126771E-2</v>
      </c>
      <c r="I18" s="9">
        <f t="shared" si="3"/>
        <v>0.10007866411609903</v>
      </c>
      <c r="J18" s="9">
        <f t="shared" si="3"/>
        <v>0.10974138697799549</v>
      </c>
      <c r="K18" s="9">
        <f t="shared" si="3"/>
        <v>0.12184329314368622</v>
      </c>
      <c r="L18" s="9">
        <f t="shared" si="3"/>
        <v>0.13758876581778018</v>
      </c>
      <c r="M18" s="9">
        <f t="shared" si="3"/>
        <v>0.15920758583197794</v>
      </c>
      <c r="N18" s="9">
        <f>IF(N17&lt;0.85, 0, 0.119*N17 - 0.023)</f>
        <v>0.19142828419692337</v>
      </c>
      <c r="O18" s="9">
        <f>IF(O17&lt;0.85, 0, 0.119*O17 - 0.023)</f>
        <v>0.24674296945082794</v>
      </c>
      <c r="P18" s="9">
        <f t="shared" ref="P18" si="4">IF(P17&lt;0.85, 0, 0.119*P17 - 0.023)</f>
        <v>0.37633172505368045</v>
      </c>
    </row>
    <row r="19" spans="2:16" ht="18" x14ac:dyDescent="0.35">
      <c r="B19" t="s">
        <v>9</v>
      </c>
      <c r="C19" s="1" t="s">
        <v>13</v>
      </c>
      <c r="D19" s="26">
        <f>$D$13*D18</f>
        <v>0</v>
      </c>
      <c r="E19" s="26">
        <f>$D$13*E18</f>
        <v>0</v>
      </c>
      <c r="F19" s="26">
        <f>$D$13*F18</f>
        <v>0</v>
      </c>
      <c r="G19" s="26">
        <f>$D$13*G18</f>
        <v>281.61098334620544</v>
      </c>
      <c r="H19" s="26">
        <f t="shared" ref="H19:M19" si="5">$D$13*H18</f>
        <v>331.70791470885638</v>
      </c>
      <c r="I19" s="26">
        <f t="shared" si="5"/>
        <v>360.28319081795649</v>
      </c>
      <c r="J19" s="26">
        <f t="shared" si="5"/>
        <v>395.06899312078377</v>
      </c>
      <c r="K19" s="26">
        <f t="shared" si="5"/>
        <v>438.6358553172704</v>
      </c>
      <c r="L19" s="26">
        <f t="shared" si="5"/>
        <v>495.31955694400864</v>
      </c>
      <c r="M19" s="26">
        <f t="shared" si="5"/>
        <v>573.14730899512062</v>
      </c>
      <c r="N19" s="26">
        <f>$D$13*N18</f>
        <v>689.14182310892409</v>
      </c>
      <c r="O19" s="26">
        <f>$D$13*O18</f>
        <v>888.27469002298062</v>
      </c>
      <c r="P19" s="26">
        <f t="shared" ref="P19" si="6">$D$13*P18</f>
        <v>1354.7942101932497</v>
      </c>
    </row>
    <row r="21" spans="2:16" x14ac:dyDescent="0.25">
      <c r="M21" s="2"/>
    </row>
    <row r="22" spans="2:16" x14ac:dyDescent="0.25">
      <c r="B22" t="s">
        <v>15</v>
      </c>
      <c r="C22" t="s">
        <v>65</v>
      </c>
    </row>
    <row r="23" spans="2:16" x14ac:dyDescent="0.25">
      <c r="B23" s="10" t="s">
        <v>45</v>
      </c>
      <c r="C23" s="26">
        <f>ec8_force_calcs!C38</f>
        <v>156.09112286901362</v>
      </c>
      <c r="D23" s="10" t="s">
        <v>12</v>
      </c>
      <c r="E23" t="s">
        <v>70</v>
      </c>
    </row>
    <row r="25" spans="2:16" ht="18" x14ac:dyDescent="0.35">
      <c r="B25" s="3" t="s">
        <v>66</v>
      </c>
      <c r="C25" s="28" t="s">
        <v>71</v>
      </c>
      <c r="D25" s="3" t="s">
        <v>45</v>
      </c>
      <c r="E25" s="3" t="s">
        <v>72</v>
      </c>
      <c r="F25" s="28" t="s">
        <v>73</v>
      </c>
      <c r="G25" s="28" t="s">
        <v>120</v>
      </c>
      <c r="H25" s="28" t="s">
        <v>74</v>
      </c>
      <c r="I25" s="28" t="s">
        <v>75</v>
      </c>
      <c r="J25" s="28"/>
      <c r="L25" s="1"/>
      <c r="N25" s="2"/>
    </row>
    <row r="26" spans="2:16" x14ac:dyDescent="0.25">
      <c r="B26" t="s">
        <v>67</v>
      </c>
      <c r="C26" s="14">
        <v>1</v>
      </c>
      <c r="D26" s="26">
        <f>C26*$C$23</f>
        <v>156.09112286901362</v>
      </c>
      <c r="E26" s="29">
        <f>D26/$D$13</f>
        <v>4.3358645241392671E-2</v>
      </c>
      <c r="F26" s="17">
        <f>IF(E26&lt;0.07815,0.85,(E26+0.023)/0.119)</f>
        <v>0.85</v>
      </c>
      <c r="G26" s="17" cm="1">
        <f t="array" ref="G26">LinearInterpolate(0.85,hazard_calcs!$C$9:$C$33, hazard_calcs!$B$9:$B$33)</f>
        <v>5.6645704779807076E-5</v>
      </c>
      <c r="H26" s="30">
        <f>G26*EXP(0.5*$D$9^2*$D$11^2)</f>
        <v>7.2714170923966789E-5</v>
      </c>
      <c r="I26" s="7">
        <f>(1-EXP(-H26*50))*100</f>
        <v>0.3629107360301087</v>
      </c>
    </row>
    <row r="27" spans="2:16" x14ac:dyDescent="0.25">
      <c r="B27" t="s">
        <v>68</v>
      </c>
      <c r="C27" s="14">
        <v>1.1499999999999999</v>
      </c>
      <c r="D27" s="26">
        <f t="shared" ref="D27:D28" si="7">C27*$C$23</f>
        <v>179.50479129936565</v>
      </c>
      <c r="E27" s="29">
        <f t="shared" ref="E27" si="8">D27/$D$13</f>
        <v>4.9862442027601567E-2</v>
      </c>
      <c r="F27" s="17">
        <f t="shared" ref="F27:F28" si="9">IF(E27&lt;0.07815,0.85,(E27+0.023)/0.119)</f>
        <v>0.85</v>
      </c>
      <c r="G27" s="17" cm="1">
        <f t="array" ref="G27">LinearInterpolate(0.85,hazard_calcs!$C$9:$C$33, hazard_calcs!$B$9:$B$33)</f>
        <v>5.6645704779807076E-5</v>
      </c>
      <c r="H27" s="30">
        <f t="shared" ref="H27:H28" si="10">G27*EXP(0.5*$D$9^2*$D$11^2)</f>
        <v>7.2714170923966789E-5</v>
      </c>
      <c r="I27" s="7">
        <f t="shared" ref="I27:I28" si="11">(1-EXP(-H27*50))*100</f>
        <v>0.3629107360301087</v>
      </c>
    </row>
    <row r="28" spans="2:16" x14ac:dyDescent="0.25">
      <c r="B28" t="s">
        <v>69</v>
      </c>
      <c r="C28" s="14">
        <v>1.3</v>
      </c>
      <c r="D28" s="26">
        <f t="shared" si="7"/>
        <v>202.91845972971771</v>
      </c>
      <c r="E28" s="29">
        <f>D28/$D$13</f>
        <v>5.6366238813810476E-2</v>
      </c>
      <c r="F28" s="17">
        <f t="shared" si="9"/>
        <v>0.85</v>
      </c>
      <c r="G28" s="17" cm="1">
        <f t="array" ref="G28">LinearInterpolate(0.85,hazard_calcs!$C$9:$C$33, hazard_calcs!$B$9:$B$33)</f>
        <v>5.6645704779807076E-5</v>
      </c>
      <c r="H28" s="30">
        <f t="shared" si="10"/>
        <v>7.2714170923966789E-5</v>
      </c>
      <c r="I28" s="7">
        <f t="shared" si="11"/>
        <v>0.3629107360301087</v>
      </c>
    </row>
    <row r="30" spans="2:16" ht="18" x14ac:dyDescent="0.35">
      <c r="B30" s="3" t="s">
        <v>118</v>
      </c>
      <c r="C30" s="17">
        <f>ec8_force_calcs!C32</f>
        <v>0.10839292761863614</v>
      </c>
      <c r="D30" t="s">
        <v>29</v>
      </c>
    </row>
    <row r="31" spans="2:16" ht="18" x14ac:dyDescent="0.35">
      <c r="B31" s="3" t="s">
        <v>119</v>
      </c>
      <c r="C31" s="29">
        <f>hazard_calcs!F5</f>
        <v>0.14106065216908439</v>
      </c>
      <c r="D31" t="s">
        <v>29</v>
      </c>
    </row>
    <row r="33" spans="2:13" x14ac:dyDescent="0.25">
      <c r="B33" t="s">
        <v>15</v>
      </c>
      <c r="C33" t="s">
        <v>139</v>
      </c>
      <c r="M33" s="2"/>
    </row>
    <row r="34" spans="2:13" ht="18" x14ac:dyDescent="0.35">
      <c r="B34" s="3" t="s">
        <v>66</v>
      </c>
      <c r="C34" s="28" t="s">
        <v>71</v>
      </c>
      <c r="D34" s="3" t="s">
        <v>45</v>
      </c>
      <c r="E34" s="3" t="s">
        <v>72</v>
      </c>
      <c r="F34" s="28" t="s">
        <v>73</v>
      </c>
      <c r="G34" s="28" t="s">
        <v>120</v>
      </c>
      <c r="H34" s="28" t="s">
        <v>74</v>
      </c>
      <c r="I34" s="28" t="s">
        <v>75</v>
      </c>
      <c r="L34" s="28"/>
      <c r="M34" s="45"/>
    </row>
    <row r="35" spans="2:13" x14ac:dyDescent="0.25">
      <c r="B35" t="s">
        <v>67</v>
      </c>
      <c r="C35" s="14">
        <f>C26</f>
        <v>1</v>
      </c>
      <c r="D35" s="26">
        <f>$C$31*C35 / ec8_force_calcs!$C$29 *risk_based_force_calcs!$D$13</f>
        <v>203.13424568783495</v>
      </c>
      <c r="E35" s="29">
        <f>D35/$D$13</f>
        <v>5.6426179357731927E-2</v>
      </c>
      <c r="F35" s="17">
        <f>IF(E35&lt;0.07815,0.85,(E35+0.023)/0.119)</f>
        <v>0.85</v>
      </c>
      <c r="G35" s="17" cm="1">
        <f t="array" ref="G35">LinearInterpolate(0.85,hazard_calcs!$C$9:$C$33, hazard_calcs!$B$9:$B$33)</f>
        <v>5.6645704779807076E-5</v>
      </c>
      <c r="H35" s="30">
        <f>G35*EXP(0.5*$D$9^2*$D$11^2)</f>
        <v>7.2714170923966789E-5</v>
      </c>
      <c r="I35" s="7">
        <f>(1-EXP(-H35*50))*100</f>
        <v>0.3629107360301087</v>
      </c>
    </row>
    <row r="36" spans="2:13" x14ac:dyDescent="0.25">
      <c r="B36" t="s">
        <v>68</v>
      </c>
      <c r="C36" s="14">
        <f>C27</f>
        <v>1.1499999999999999</v>
      </c>
      <c r="D36" s="26">
        <f>$C$31*C36 / ec8_force_calcs!$C$29 *risk_based_force_calcs!$D$13</f>
        <v>233.60438254101018</v>
      </c>
      <c r="E36" s="29">
        <f t="shared" ref="E36" si="12">D36/$D$13</f>
        <v>6.4890106261391717E-2</v>
      </c>
      <c r="F36" s="17">
        <f t="shared" ref="F36:F37" si="13">IF(E36&lt;0.07815,0.85,(E36+0.023)/0.119)</f>
        <v>0.85</v>
      </c>
      <c r="G36" s="17" cm="1">
        <f t="array" ref="G36">LinearInterpolate(0.85,hazard_calcs!$C$9:$C$33, hazard_calcs!$B$9:$B$33)</f>
        <v>5.6645704779807076E-5</v>
      </c>
      <c r="H36" s="30">
        <f t="shared" ref="H36:H37" si="14">G36*EXP(0.5*$D$9^2*$D$11^2)</f>
        <v>7.2714170923966789E-5</v>
      </c>
      <c r="I36" s="7">
        <f t="shared" ref="I36:I37" si="15">(1-EXP(-H36*50))*100</f>
        <v>0.3629107360301087</v>
      </c>
    </row>
    <row r="37" spans="2:13" x14ac:dyDescent="0.25">
      <c r="B37" t="s">
        <v>69</v>
      </c>
      <c r="C37" s="14">
        <f>C28</f>
        <v>1.3</v>
      </c>
      <c r="D37" s="26">
        <f>$C$31*C37 / ec8_force_calcs!$C$29 *risk_based_force_calcs!$D$13</f>
        <v>264.07451939418547</v>
      </c>
      <c r="E37" s="29">
        <f>D37/$D$13</f>
        <v>7.3354033165051513E-2</v>
      </c>
      <c r="F37" s="17">
        <f t="shared" si="13"/>
        <v>0.85</v>
      </c>
      <c r="G37" s="17" cm="1">
        <f t="array" ref="G37">LinearInterpolate(0.85,hazard_calcs!$C$9:$C$33, hazard_calcs!$B$9:$B$33)</f>
        <v>5.6645704779807076E-5</v>
      </c>
      <c r="H37" s="30">
        <f t="shared" si="14"/>
        <v>7.2714170923966789E-5</v>
      </c>
      <c r="I37" s="7">
        <f t="shared" si="15"/>
        <v>0.3629107360301087</v>
      </c>
    </row>
    <row r="39" spans="2:13" x14ac:dyDescent="0.25">
      <c r="B39" s="20" t="s">
        <v>122</v>
      </c>
    </row>
    <row r="40" spans="2:13" ht="18" x14ac:dyDescent="0.35">
      <c r="B40" s="3" t="s">
        <v>66</v>
      </c>
      <c r="C40" s="28" t="s">
        <v>71</v>
      </c>
      <c r="D40" s="3" t="s">
        <v>121</v>
      </c>
      <c r="E40" s="28" t="s">
        <v>124</v>
      </c>
      <c r="F40" s="28" t="s">
        <v>125</v>
      </c>
      <c r="G40" s="28" t="s">
        <v>127</v>
      </c>
      <c r="H40" s="28" t="s">
        <v>126</v>
      </c>
    </row>
    <row r="41" spans="2:13" x14ac:dyDescent="0.25">
      <c r="B41" t="s">
        <v>67</v>
      </c>
      <c r="C41" s="17">
        <f>C26</f>
        <v>1</v>
      </c>
      <c r="D41" s="29">
        <f>$C$31*C41</f>
        <v>0.14106065216908439</v>
      </c>
      <c r="E41" s="17" cm="1">
        <f t="array" ref="E41">LinearInterpolate(D41,hazard_calcs!$C$9:$C$33, hazard_calcs!$B$9:$B$33)</f>
        <v>2.1052631578947368E-3</v>
      </c>
      <c r="F41" s="26">
        <f>1/E41</f>
        <v>475</v>
      </c>
      <c r="G41" s="17">
        <f>$D$8*D41^(-$D$9)</f>
        <v>2.1052631578947372E-3</v>
      </c>
      <c r="H41" s="26">
        <f>1/G41</f>
        <v>474.99999999999989</v>
      </c>
    </row>
    <row r="42" spans="2:13" x14ac:dyDescent="0.25">
      <c r="B42" t="s">
        <v>68</v>
      </c>
      <c r="C42" s="17">
        <f>C27</f>
        <v>1.1499999999999999</v>
      </c>
      <c r="D42" s="29">
        <f t="shared" ref="D42:D43" si="16">$C$31*C42</f>
        <v>0.16221974999444705</v>
      </c>
      <c r="E42" s="17" cm="1">
        <f t="array" ref="E42">LinearInterpolate(D42,hazard_calcs!$C$9:$C$33, hazard_calcs!$B$9:$B$33)</f>
        <v>1.7886556937819836E-3</v>
      </c>
      <c r="F42" s="26">
        <f t="shared" ref="F42:F43" si="17">1/E42</f>
        <v>559.07909134014051</v>
      </c>
      <c r="G42" s="17">
        <f t="shared" ref="G42:G43" si="18">$D$8*D42^(-$D$9)</f>
        <v>1.6446247889583124E-3</v>
      </c>
      <c r="H42" s="26">
        <f t="shared" ref="H42:H43" si="19">1/G42</f>
        <v>608.04142483671865</v>
      </c>
    </row>
    <row r="43" spans="2:13" x14ac:dyDescent="0.25">
      <c r="B43" t="s">
        <v>69</v>
      </c>
      <c r="C43" s="17">
        <f>C28</f>
        <v>1.3</v>
      </c>
      <c r="D43" s="29">
        <f t="shared" si="16"/>
        <v>0.18337884781980973</v>
      </c>
      <c r="E43" s="17" cm="1">
        <f t="array" ref="E43">LinearInterpolate(D43,hazard_calcs!$C$9:$C$33, hazard_calcs!$B$9:$B$33)</f>
        <v>1.4720482296692299E-3</v>
      </c>
      <c r="F43" s="26">
        <f t="shared" si="17"/>
        <v>679.32556817428497</v>
      </c>
      <c r="G43" s="17">
        <f t="shared" si="18"/>
        <v>1.324322864462909E-3</v>
      </c>
      <c r="H43" s="26">
        <f t="shared" si="19"/>
        <v>755.10287319970041</v>
      </c>
    </row>
    <row r="45" spans="2:13" x14ac:dyDescent="0.25">
      <c r="B45" t="s">
        <v>138</v>
      </c>
    </row>
    <row r="46" spans="2:13" x14ac:dyDescent="0.25">
      <c r="C46" t="s">
        <v>102</v>
      </c>
      <c r="D46" s="14">
        <v>3</v>
      </c>
      <c r="E46" t="s">
        <v>133</v>
      </c>
    </row>
    <row r="47" spans="2:13" x14ac:dyDescent="0.25">
      <c r="C47" t="s">
        <v>128</v>
      </c>
      <c r="D47" s="14">
        <f>1/475</f>
        <v>2.1052631578947368E-3</v>
      </c>
    </row>
    <row r="48" spans="2:13" x14ac:dyDescent="0.25">
      <c r="C48" t="s">
        <v>129</v>
      </c>
      <c r="D48" s="17">
        <f>hazard_calcs!F5</f>
        <v>0.14106065216908439</v>
      </c>
    </row>
    <row r="49" spans="2:8" x14ac:dyDescent="0.25">
      <c r="C49" t="s">
        <v>85</v>
      </c>
      <c r="D49" s="42">
        <f>D47/(D48^(-D46))</f>
        <v>5.909136912900706E-6</v>
      </c>
      <c r="E49" t="s">
        <v>134</v>
      </c>
    </row>
    <row r="51" spans="2:8" ht="18" x14ac:dyDescent="0.35">
      <c r="B51" t="s">
        <v>6</v>
      </c>
      <c r="C51" s="1" t="s">
        <v>1</v>
      </c>
      <c r="D51" s="27">
        <v>2.0000000000000001E-4</v>
      </c>
      <c r="E51" s="27">
        <v>5.0000000000000002E-5</v>
      </c>
      <c r="F51" s="27">
        <v>1.0000000000000001E-5</v>
      </c>
    </row>
    <row r="52" spans="2:8" x14ac:dyDescent="0.25">
      <c r="B52" s="1" t="s">
        <v>123</v>
      </c>
      <c r="C52" s="1"/>
      <c r="D52" s="9">
        <f>(1-EXP(-D51*50))*100</f>
        <v>0.99501662508318933</v>
      </c>
      <c r="E52" s="9">
        <f t="shared" ref="E52:F52" si="20">(1-EXP(-E51*50))*100</f>
        <v>0.24968776025399153</v>
      </c>
      <c r="F52" s="9">
        <f t="shared" si="20"/>
        <v>4.99875020830709E-2</v>
      </c>
    </row>
    <row r="53" spans="2:8" ht="18" x14ac:dyDescent="0.35">
      <c r="B53" t="s">
        <v>7</v>
      </c>
      <c r="C53" s="1" t="s">
        <v>4</v>
      </c>
      <c r="D53" s="31">
        <f>EXP((0.5*$D$46*$D$11^2) - (LN(D51/$D$49)/$D$46))</f>
        <v>0.39300254365064669</v>
      </c>
      <c r="E53" s="31">
        <f>EXP((0.5*$D$46*$D$11^2) - (LN(E51/$D$49)/$D$46))</f>
        <v>0.62385265121721489</v>
      </c>
      <c r="F53" s="31">
        <f>EXP((0.5*$D$46*$D$11^2) - (LN(F51/$D$49)/$D$46))</f>
        <v>1.0667730278519243</v>
      </c>
    </row>
    <row r="54" spans="2:8" ht="18" x14ac:dyDescent="0.35">
      <c r="B54" t="s">
        <v>8</v>
      </c>
      <c r="C54" s="1" t="s">
        <v>14</v>
      </c>
      <c r="D54" s="9">
        <f>IF(D53&lt;0.85, 0, 0.119*D53 - 0.023)</f>
        <v>0</v>
      </c>
      <c r="E54" s="9">
        <f t="shared" ref="E54:F54" si="21">IF(E53&lt;0.85, 0, 0.119*E53 - 0.023)</f>
        <v>0</v>
      </c>
      <c r="F54" s="9">
        <f t="shared" si="21"/>
        <v>0.10394599031437898</v>
      </c>
    </row>
    <row r="55" spans="2:8" ht="18" x14ac:dyDescent="0.35">
      <c r="B55" t="s">
        <v>9</v>
      </c>
      <c r="C55" s="1" t="s">
        <v>13</v>
      </c>
      <c r="D55" s="26">
        <f>$D$13*D54</f>
        <v>0</v>
      </c>
      <c r="E55" s="26">
        <f t="shared" ref="E55:F55" si="22">$D$13*E54</f>
        <v>0</v>
      </c>
      <c r="F55" s="26">
        <f t="shared" si="22"/>
        <v>374.20556513176433</v>
      </c>
      <c r="H55" t="s">
        <v>135</v>
      </c>
    </row>
    <row r="56" spans="2:8" x14ac:dyDescent="0.25">
      <c r="H56" t="s">
        <v>132</v>
      </c>
    </row>
    <row r="58" spans="2:8" ht="18" x14ac:dyDescent="0.35">
      <c r="B58" s="3" t="s">
        <v>66</v>
      </c>
      <c r="C58" s="28" t="s">
        <v>71</v>
      </c>
      <c r="D58" s="3" t="s">
        <v>121</v>
      </c>
      <c r="E58" s="28" t="s">
        <v>127</v>
      </c>
      <c r="F58" s="28" t="s">
        <v>126</v>
      </c>
      <c r="G58" s="1" t="s">
        <v>131</v>
      </c>
    </row>
    <row r="59" spans="2:8" x14ac:dyDescent="0.25">
      <c r="B59" t="s">
        <v>67</v>
      </c>
      <c r="C59" s="17">
        <f>C41</f>
        <v>1</v>
      </c>
      <c r="D59" s="29">
        <f>$C$31*C59</f>
        <v>0.14106065216908439</v>
      </c>
      <c r="E59" s="17">
        <f>$D$49*D59^(-$D$46)</f>
        <v>2.1052631578947368E-3</v>
      </c>
      <c r="F59" s="26">
        <f>1/E59</f>
        <v>475</v>
      </c>
    </row>
    <row r="60" spans="2:8" x14ac:dyDescent="0.25">
      <c r="B60" t="s">
        <v>68</v>
      </c>
      <c r="C60" s="17">
        <f t="shared" ref="C60:C61" si="23">C42</f>
        <v>1.1499999999999999</v>
      </c>
      <c r="D60" s="29">
        <f t="shared" ref="D60:D61" si="24">$C$31*C60</f>
        <v>0.16221974999444705</v>
      </c>
      <c r="E60" s="17">
        <f t="shared" ref="E60:E61" si="25">$D$49*D60^(-$D$46)</f>
        <v>1.384244699856817E-3</v>
      </c>
      <c r="F60" s="26">
        <f t="shared" ref="F60:F61" si="26">1/E60</f>
        <v>722.41562500000009</v>
      </c>
    </row>
    <row r="61" spans="2:8" x14ac:dyDescent="0.25">
      <c r="B61" t="s">
        <v>69</v>
      </c>
      <c r="C61" s="17">
        <f t="shared" si="23"/>
        <v>1.3</v>
      </c>
      <c r="D61" s="29">
        <f t="shared" si="24"/>
        <v>0.18337884781980973</v>
      </c>
      <c r="E61" s="17">
        <f t="shared" si="25"/>
        <v>9.5824449608317521E-4</v>
      </c>
      <c r="F61" s="26">
        <f t="shared" si="26"/>
        <v>1043.5750000000005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5D5CD-3A68-4884-8871-3449B6B10983}">
  <sheetPr codeName="Tabelle3"/>
  <dimension ref="B2:P39"/>
  <sheetViews>
    <sheetView workbookViewId="0">
      <selection activeCell="R22" sqref="R22"/>
    </sheetView>
  </sheetViews>
  <sheetFormatPr baseColWidth="10" defaultRowHeight="15" x14ac:dyDescent="0.25"/>
  <cols>
    <col min="6" max="6" width="16.28515625" customWidth="1"/>
  </cols>
  <sheetData>
    <row r="2" spans="2:16" ht="15.75" thickBot="1" x14ac:dyDescent="0.3"/>
    <row r="3" spans="2:16" x14ac:dyDescent="0.25">
      <c r="B3" s="11" t="s">
        <v>46</v>
      </c>
      <c r="C3" s="12"/>
      <c r="D3" s="12"/>
      <c r="E3" s="12"/>
      <c r="F3" s="12"/>
      <c r="G3" s="12"/>
      <c r="H3" s="12"/>
      <c r="I3" s="12"/>
      <c r="J3" s="13"/>
    </row>
    <row r="4" spans="2:16" x14ac:dyDescent="0.25">
      <c r="B4" s="4" t="s">
        <v>29</v>
      </c>
      <c r="C4" s="5">
        <f>9.81</f>
        <v>9.81</v>
      </c>
      <c r="D4" t="s">
        <v>47</v>
      </c>
      <c r="F4" t="s">
        <v>48</v>
      </c>
      <c r="G4" s="14">
        <f>risk_based_force_calcs!D13</f>
        <v>3600</v>
      </c>
      <c r="H4" t="s">
        <v>12</v>
      </c>
      <c r="J4" s="15"/>
    </row>
    <row r="5" spans="2:16" x14ac:dyDescent="0.25">
      <c r="B5" s="4" t="s">
        <v>28</v>
      </c>
      <c r="C5" s="5">
        <f>hazard_calcs!F3</f>
        <v>0.40641360769531587</v>
      </c>
      <c r="D5" t="s">
        <v>29</v>
      </c>
      <c r="F5" t="s">
        <v>49</v>
      </c>
      <c r="G5" s="14">
        <v>3</v>
      </c>
      <c r="J5" s="15"/>
    </row>
    <row r="6" spans="2:16" x14ac:dyDescent="0.25">
      <c r="B6" s="4" t="s">
        <v>30</v>
      </c>
      <c r="C6" s="5">
        <f>hazard_calcs!F4</f>
        <v>5.4196463809318071E-2</v>
      </c>
      <c r="D6" t="s">
        <v>29</v>
      </c>
      <c r="J6" s="15"/>
    </row>
    <row r="7" spans="2:16" ht="18" x14ac:dyDescent="0.35">
      <c r="B7" s="4" t="s">
        <v>31</v>
      </c>
      <c r="C7" s="6" t="s">
        <v>32</v>
      </c>
      <c r="E7" s="3"/>
      <c r="F7" s="3" t="s">
        <v>76</v>
      </c>
      <c r="G7" s="3" t="s">
        <v>78</v>
      </c>
      <c r="I7" s="3"/>
      <c r="J7" s="16"/>
    </row>
    <row r="8" spans="2:16" ht="18" x14ac:dyDescent="0.35">
      <c r="B8" s="4" t="s">
        <v>33</v>
      </c>
      <c r="C8" s="5">
        <v>1</v>
      </c>
      <c r="F8" s="3" t="s">
        <v>77</v>
      </c>
      <c r="G8" s="3" t="s">
        <v>78</v>
      </c>
      <c r="I8" s="7"/>
      <c r="J8" s="18"/>
    </row>
    <row r="9" spans="2:16" x14ac:dyDescent="0.25">
      <c r="B9" s="4" t="s">
        <v>34</v>
      </c>
      <c r="C9" s="5">
        <v>1</v>
      </c>
      <c r="F9" s="17"/>
      <c r="G9" s="7"/>
      <c r="I9" s="7"/>
      <c r="J9" s="18"/>
    </row>
    <row r="10" spans="2:16" x14ac:dyDescent="0.25">
      <c r="B10" s="4" t="s">
        <v>35</v>
      </c>
      <c r="C10" s="5">
        <v>1</v>
      </c>
      <c r="F10" s="17"/>
      <c r="G10" s="7"/>
      <c r="I10" s="7"/>
      <c r="J10" s="18"/>
    </row>
    <row r="11" spans="2:16" x14ac:dyDescent="0.25">
      <c r="B11" s="4"/>
      <c r="F11" s="17"/>
      <c r="G11" s="7"/>
      <c r="I11" s="7"/>
      <c r="J11" s="18"/>
    </row>
    <row r="12" spans="2:16" ht="18" x14ac:dyDescent="0.35">
      <c r="B12" s="4" t="s">
        <v>50</v>
      </c>
      <c r="C12" s="7">
        <f>C8*C9*C5</f>
        <v>0.40641360769531587</v>
      </c>
      <c r="F12" s="17"/>
      <c r="G12" s="7"/>
      <c r="I12" s="7"/>
      <c r="J12" s="18"/>
    </row>
    <row r="13" spans="2:16" ht="18" x14ac:dyDescent="0.35">
      <c r="B13" s="4" t="s">
        <v>51</v>
      </c>
      <c r="C13" s="7">
        <f>C8*C10*C6</f>
        <v>5.4196463809318071E-2</v>
      </c>
      <c r="F13" s="17"/>
      <c r="G13" s="7"/>
      <c r="I13" s="7"/>
      <c r="J13" s="18"/>
      <c r="M13" t="s">
        <v>40</v>
      </c>
      <c r="N13" t="s">
        <v>140</v>
      </c>
      <c r="O13" t="s">
        <v>141</v>
      </c>
      <c r="P13" t="s">
        <v>142</v>
      </c>
    </row>
    <row r="14" spans="2:16" x14ac:dyDescent="0.25">
      <c r="B14" s="4"/>
      <c r="F14" s="17"/>
      <c r="G14" s="7"/>
      <c r="I14" s="7"/>
      <c r="J14" s="18"/>
      <c r="M14">
        <v>0</v>
      </c>
      <c r="N14">
        <f>IF(M14&lt;=TA,$C$12/$C$15,IF(M14&lt;=TB,$C$12/(TB-TA)*($C$22*(M14-TA)+(TB-M14)/$C$15),IF(M14&lt;=TC,$C$22*$C$12,IF(M14&lt;=TD,$C$22*$C$13*$C$21/M14,$C$22*TD*$C$13*$C$21/M14^2))))</f>
        <v>0.16256544307812634</v>
      </c>
      <c r="O14">
        <f t="shared" ref="O14:O39" si="0">IF(M14&lt;=TA, $C$25*$C$26, IF(M14&lt;=TB, $C$25*$C$26+($C$27-$C$25*$C$26)*(M14-TA)/(TB-TA), $C$27))</f>
        <v>1.6500000000000001</v>
      </c>
      <c r="P14">
        <f>MAX(N14/O14, 0.08*$C$5)</f>
        <v>9.8524510956440201E-2</v>
      </c>
    </row>
    <row r="15" spans="2:16" x14ac:dyDescent="0.25">
      <c r="B15" s="4" t="s">
        <v>52</v>
      </c>
      <c r="C15" s="5">
        <v>2.5</v>
      </c>
      <c r="F15" s="17"/>
      <c r="G15" s="7"/>
      <c r="I15" s="7"/>
      <c r="J15" s="18"/>
      <c r="M15">
        <v>0.01</v>
      </c>
      <c r="N15">
        <f t="shared" ref="N15:N39" si="1">IF(M15&lt;=TA, $C$12/$C$15, IF(M15&lt;=TB, $C$12/(TB-TA)*($C$22*(M15-TA)+(TB-M15)/$C$15), IF(M15&lt;=TC, $C$22*$C$12, IF(M15&lt;=TD, $C$22*$C$13*$C$21/M15, $C$22*TD*$C$13*$C$21/M15^2))))</f>
        <v>0.16256544307812634</v>
      </c>
      <c r="O15">
        <f t="shared" si="0"/>
        <v>1.6500000000000001</v>
      </c>
      <c r="P15">
        <f t="shared" ref="P15:P39" si="2">MAX(N15/O15, 0.08*$C$5)</f>
        <v>9.8524510956440201E-2</v>
      </c>
    </row>
    <row r="16" spans="2:16" x14ac:dyDescent="0.25">
      <c r="B16" s="19" t="s">
        <v>53</v>
      </c>
      <c r="C16" s="5">
        <v>4</v>
      </c>
      <c r="F16" s="17"/>
      <c r="G16" s="7"/>
      <c r="I16" s="7"/>
      <c r="J16" s="18"/>
      <c r="M16">
        <v>0.02</v>
      </c>
      <c r="N16">
        <f t="shared" si="1"/>
        <v>0.16256544307812634</v>
      </c>
      <c r="O16">
        <f t="shared" si="0"/>
        <v>1.6500000000000001</v>
      </c>
      <c r="P16">
        <f t="shared" si="2"/>
        <v>9.8524510956440201E-2</v>
      </c>
    </row>
    <row r="17" spans="2:16" x14ac:dyDescent="0.25">
      <c r="B17" s="4" t="s">
        <v>54</v>
      </c>
      <c r="C17" s="5">
        <v>0.02</v>
      </c>
      <c r="E17" s="1"/>
      <c r="F17" s="7"/>
      <c r="G17" s="7"/>
      <c r="H17" s="7"/>
      <c r="I17" s="7"/>
      <c r="J17" s="18"/>
      <c r="M17">
        <v>0.03</v>
      </c>
      <c r="N17">
        <f t="shared" si="1"/>
        <v>0.34538423660392409</v>
      </c>
      <c r="O17">
        <f t="shared" si="0"/>
        <v>2.2872015764129525</v>
      </c>
      <c r="P17">
        <f t="shared" si="2"/>
        <v>0.151007344593385</v>
      </c>
    </row>
    <row r="18" spans="2:16" x14ac:dyDescent="0.25">
      <c r="B18" s="4" t="s">
        <v>55</v>
      </c>
      <c r="C18" s="17">
        <f>IF((C19/C16) &lt; 0.05, C19/C16, IF((C19/C16) &lt; 0.01, 0.05, 0.1))</f>
        <v>3.3338243837758387E-2</v>
      </c>
      <c r="J18" s="15"/>
      <c r="M18">
        <f>TB</f>
        <v>3.3338243837758387E-2</v>
      </c>
      <c r="N18">
        <f t="shared" si="1"/>
        <v>0.40641360769531587</v>
      </c>
      <c r="O18">
        <f t="shared" si="0"/>
        <v>2.4999149999999997</v>
      </c>
      <c r="P18">
        <f t="shared" si="2"/>
        <v>0.16257097049112307</v>
      </c>
    </row>
    <row r="19" spans="2:16" x14ac:dyDescent="0.25">
      <c r="B19" s="4" t="s">
        <v>41</v>
      </c>
      <c r="C19" s="7">
        <f>IF(C5=0, 0, C13/C12 * C21)</f>
        <v>0.13335297535103355</v>
      </c>
      <c r="E19" s="20"/>
      <c r="J19" s="15"/>
      <c r="M19">
        <f>TC</f>
        <v>0.13335297535103355</v>
      </c>
      <c r="N19">
        <f t="shared" si="1"/>
        <v>0.40641360769531587</v>
      </c>
      <c r="O19">
        <f t="shared" si="0"/>
        <v>2.4999149999999997</v>
      </c>
      <c r="P19">
        <f t="shared" si="2"/>
        <v>0.16257097049112307</v>
      </c>
    </row>
    <row r="20" spans="2:16" x14ac:dyDescent="0.25">
      <c r="B20" s="4" t="s">
        <v>56</v>
      </c>
      <c r="C20" s="7">
        <f>IF(C6*C4 &lt;= 1, 2, 1+C6)</f>
        <v>2</v>
      </c>
      <c r="E20" s="3"/>
      <c r="F20" s="3"/>
      <c r="G20" s="3"/>
      <c r="H20" s="3"/>
      <c r="I20" s="3"/>
      <c r="J20" s="15"/>
      <c r="M20">
        <v>0.2</v>
      </c>
      <c r="N20">
        <f t="shared" si="1"/>
        <v>0.27098231904659031</v>
      </c>
      <c r="O20">
        <f t="shared" si="0"/>
        <v>2.4999149999999997</v>
      </c>
      <c r="P20">
        <f t="shared" si="2"/>
        <v>0.10839661310348166</v>
      </c>
    </row>
    <row r="21" spans="2:16" x14ac:dyDescent="0.25">
      <c r="B21" s="4" t="s">
        <v>57</v>
      </c>
      <c r="C21" s="5">
        <v>1</v>
      </c>
      <c r="F21" s="7"/>
      <c r="G21" s="14"/>
      <c r="H21" s="7"/>
      <c r="I21" s="7"/>
      <c r="J21" s="15"/>
      <c r="M21">
        <v>0.3</v>
      </c>
      <c r="N21">
        <f t="shared" si="1"/>
        <v>0.18065487936439359</v>
      </c>
      <c r="O21">
        <f t="shared" si="0"/>
        <v>2.4999149999999997</v>
      </c>
      <c r="P21">
        <f t="shared" si="2"/>
        <v>7.2264408735654456E-2</v>
      </c>
    </row>
    <row r="22" spans="2:16" x14ac:dyDescent="0.25">
      <c r="B22" s="4" t="s">
        <v>58</v>
      </c>
      <c r="C22" s="5">
        <v>1</v>
      </c>
      <c r="F22" s="7"/>
      <c r="G22" s="14"/>
      <c r="H22" s="7"/>
      <c r="I22" s="7"/>
      <c r="J22" s="15"/>
      <c r="M22">
        <v>0.4</v>
      </c>
      <c r="N22">
        <f t="shared" si="1"/>
        <v>0.13549115952329516</v>
      </c>
      <c r="O22">
        <f t="shared" si="0"/>
        <v>2.4999149999999997</v>
      </c>
      <c r="P22">
        <f t="shared" si="2"/>
        <v>5.4198306551740828E-2</v>
      </c>
    </row>
    <row r="23" spans="2:16" x14ac:dyDescent="0.25">
      <c r="B23" s="4" t="s">
        <v>59</v>
      </c>
      <c r="C23" s="5">
        <v>2.5</v>
      </c>
      <c r="F23" s="7"/>
      <c r="G23" s="14"/>
      <c r="H23" s="7"/>
      <c r="I23" s="7"/>
      <c r="J23" s="15"/>
      <c r="M23">
        <v>0.5</v>
      </c>
      <c r="N23">
        <f t="shared" si="1"/>
        <v>0.10839292761863614</v>
      </c>
      <c r="O23">
        <f t="shared" si="0"/>
        <v>2.4999149999999997</v>
      </c>
      <c r="P23">
        <f t="shared" si="2"/>
        <v>4.3358645241392671E-2</v>
      </c>
    </row>
    <row r="24" spans="2:16" x14ac:dyDescent="0.25">
      <c r="B24" s="4" t="s">
        <v>60</v>
      </c>
      <c r="C24" s="5">
        <v>1.5150999999999999</v>
      </c>
      <c r="F24" s="7"/>
      <c r="G24" s="14"/>
      <c r="H24" s="7"/>
      <c r="I24" s="7"/>
      <c r="J24" s="15"/>
      <c r="M24">
        <v>0.6</v>
      </c>
      <c r="N24">
        <f t="shared" si="1"/>
        <v>9.0327439682196795E-2</v>
      </c>
      <c r="O24">
        <f t="shared" si="0"/>
        <v>2.4999149999999997</v>
      </c>
      <c r="P24">
        <f t="shared" si="2"/>
        <v>3.6132204367827228E-2</v>
      </c>
    </row>
    <row r="25" spans="2:16" x14ac:dyDescent="0.25">
      <c r="B25" s="4" t="s">
        <v>61</v>
      </c>
      <c r="C25" s="5">
        <v>1.1000000000000001</v>
      </c>
      <c r="F25" s="7"/>
      <c r="G25" s="14"/>
      <c r="H25" s="7"/>
      <c r="I25" s="7"/>
      <c r="J25" s="15"/>
      <c r="M25">
        <v>0.7</v>
      </c>
      <c r="N25">
        <f t="shared" si="1"/>
        <v>7.7423519727597243E-2</v>
      </c>
      <c r="O25">
        <f t="shared" si="0"/>
        <v>2.4999149999999997</v>
      </c>
      <c r="P25">
        <f t="shared" si="2"/>
        <v>3.2513088615625269E-2</v>
      </c>
    </row>
    <row r="26" spans="2:16" x14ac:dyDescent="0.25">
      <c r="B26" s="4" t="s">
        <v>62</v>
      </c>
      <c r="C26" s="5">
        <v>1.5</v>
      </c>
      <c r="F26" s="7"/>
      <c r="G26" s="14"/>
      <c r="H26" s="7"/>
      <c r="I26" s="7"/>
      <c r="J26" s="15"/>
      <c r="M26">
        <v>0.9</v>
      </c>
      <c r="N26">
        <f t="shared" si="1"/>
        <v>6.0218293121464525E-2</v>
      </c>
      <c r="O26">
        <f t="shared" si="0"/>
        <v>2.4999149999999997</v>
      </c>
      <c r="P26">
        <f t="shared" si="2"/>
        <v>3.2513088615625269E-2</v>
      </c>
    </row>
    <row r="27" spans="2:16" x14ac:dyDescent="0.25">
      <c r="B27" s="4" t="s">
        <v>36</v>
      </c>
      <c r="C27" s="7">
        <f>C24*C25*C26</f>
        <v>2.4999149999999997</v>
      </c>
      <c r="F27" s="7"/>
      <c r="G27" s="14"/>
      <c r="H27" s="7"/>
      <c r="I27" s="7"/>
      <c r="J27" s="15"/>
      <c r="M27">
        <v>1</v>
      </c>
      <c r="N27">
        <f t="shared" si="1"/>
        <v>5.4196463809318071E-2</v>
      </c>
      <c r="O27">
        <f t="shared" si="0"/>
        <v>2.4999149999999997</v>
      </c>
      <c r="P27">
        <f t="shared" si="2"/>
        <v>3.2513088615625269E-2</v>
      </c>
    </row>
    <row r="28" spans="2:16" x14ac:dyDescent="0.25">
      <c r="B28" s="4" t="s">
        <v>63</v>
      </c>
      <c r="C28" s="7">
        <f>IF(T&gt;=TC, C27, MIN( 1 + (C27-1)*TC/T, 3*C27))</f>
        <v>2.4999149999999997</v>
      </c>
      <c r="F28" s="7"/>
      <c r="G28" s="14"/>
      <c r="H28" s="7"/>
      <c r="I28" s="7"/>
      <c r="J28" s="15"/>
      <c r="M28">
        <v>1.1000000000000001</v>
      </c>
      <c r="N28">
        <f t="shared" si="1"/>
        <v>4.9269512553925518E-2</v>
      </c>
      <c r="O28">
        <f t="shared" si="0"/>
        <v>2.4999149999999997</v>
      </c>
      <c r="P28">
        <f t="shared" si="2"/>
        <v>3.2513088615625269E-2</v>
      </c>
    </row>
    <row r="29" spans="2:16" x14ac:dyDescent="0.25">
      <c r="B29" s="4" t="s">
        <v>37</v>
      </c>
      <c r="C29" s="7">
        <f>IF(T&lt;=TA, C25*C26, IF(T&lt;=TB, C25*C26 + (C27-C25*C26)*(T-TA)/(TB-TA), C27))</f>
        <v>2.4999149999999997</v>
      </c>
      <c r="F29" s="7"/>
      <c r="G29" s="14"/>
      <c r="H29" s="7"/>
      <c r="I29" s="7"/>
      <c r="J29" s="15"/>
      <c r="M29">
        <v>1.2</v>
      </c>
      <c r="N29">
        <f t="shared" si="1"/>
        <v>4.5163719841098397E-2</v>
      </c>
      <c r="O29">
        <f t="shared" si="0"/>
        <v>2.4999149999999997</v>
      </c>
      <c r="P29">
        <f t="shared" si="2"/>
        <v>3.2513088615625269E-2</v>
      </c>
    </row>
    <row r="30" spans="2:16" x14ac:dyDescent="0.25">
      <c r="B30" s="4"/>
      <c r="E30" s="1"/>
      <c r="H30" s="7"/>
      <c r="I30" s="7"/>
      <c r="J30" s="15"/>
      <c r="M30">
        <v>1.3</v>
      </c>
      <c r="N30">
        <f t="shared" si="1"/>
        <v>4.1689587545629285E-2</v>
      </c>
      <c r="O30">
        <f t="shared" si="0"/>
        <v>2.4999149999999997</v>
      </c>
      <c r="P30">
        <f t="shared" si="2"/>
        <v>3.2513088615625269E-2</v>
      </c>
    </row>
    <row r="31" spans="2:16" x14ac:dyDescent="0.25">
      <c r="B31" s="4" t="s">
        <v>64</v>
      </c>
      <c r="C31" s="21">
        <v>0.5</v>
      </c>
      <c r="D31" t="s">
        <v>39</v>
      </c>
      <c r="J31" s="15"/>
      <c r="M31">
        <v>1.4</v>
      </c>
      <c r="N31">
        <f t="shared" si="1"/>
        <v>3.8711759863798621E-2</v>
      </c>
      <c r="O31">
        <f t="shared" si="0"/>
        <v>2.4999149999999997</v>
      </c>
      <c r="P31">
        <f t="shared" si="2"/>
        <v>3.2513088615625269E-2</v>
      </c>
    </row>
    <row r="32" spans="2:16" x14ac:dyDescent="0.25">
      <c r="B32" s="8" t="s">
        <v>42</v>
      </c>
      <c r="C32" s="9">
        <f>IF(T&lt;TA, C12/C15, IF(T&lt;TB, C12/(TA-TB) * (C22*(T-TA) + (TB-T)/C15), IF(T&lt;TC, C22*C12, IF(T&lt;TD, C22*C13*C21/T, C22*TD*C13*C21/T^2))))</f>
        <v>0.10839292761863614</v>
      </c>
      <c r="D32" t="s">
        <v>29</v>
      </c>
      <c r="F32" s="9"/>
      <c r="J32" s="15"/>
      <c r="M32">
        <v>1.5</v>
      </c>
      <c r="N32">
        <f t="shared" si="1"/>
        <v>3.6130975872878716E-2</v>
      </c>
      <c r="O32">
        <f t="shared" si="0"/>
        <v>2.4999149999999997</v>
      </c>
      <c r="P32">
        <f t="shared" si="2"/>
        <v>3.2513088615625269E-2</v>
      </c>
    </row>
    <row r="33" spans="2:16" x14ac:dyDescent="0.25">
      <c r="B33" s="8"/>
      <c r="C33" s="9">
        <f>C32*C4</f>
        <v>1.0633346199388205</v>
      </c>
      <c r="D33" t="s">
        <v>47</v>
      </c>
      <c r="J33" s="15"/>
      <c r="M33">
        <v>1.6</v>
      </c>
      <c r="N33">
        <f t="shared" si="1"/>
        <v>3.3872789880823789E-2</v>
      </c>
      <c r="O33">
        <f t="shared" si="0"/>
        <v>2.4999149999999997</v>
      </c>
      <c r="P33">
        <f t="shared" si="2"/>
        <v>3.2513088615625269E-2</v>
      </c>
    </row>
    <row r="34" spans="2:16" x14ac:dyDescent="0.25">
      <c r="B34" s="8" t="s">
        <v>43</v>
      </c>
      <c r="C34" s="9">
        <f>MAX(C32/C29, 0.08*C5)</f>
        <v>4.3358645241392671E-2</v>
      </c>
      <c r="D34" t="s">
        <v>29</v>
      </c>
      <c r="J34" s="15"/>
      <c r="M34">
        <v>1.7</v>
      </c>
      <c r="N34">
        <f t="shared" si="1"/>
        <v>3.1880272829010632E-2</v>
      </c>
      <c r="O34">
        <f t="shared" si="0"/>
        <v>2.4999149999999997</v>
      </c>
      <c r="P34">
        <f t="shared" si="2"/>
        <v>3.2513088615625269E-2</v>
      </c>
    </row>
    <row r="35" spans="2:16" x14ac:dyDescent="0.25">
      <c r="B35" s="8"/>
      <c r="C35" s="9">
        <f>C34*C4</f>
        <v>0.4253483098180621</v>
      </c>
      <c r="D35" t="s">
        <v>47</v>
      </c>
      <c r="J35" s="15"/>
      <c r="M35">
        <v>1.8</v>
      </c>
      <c r="N35">
        <f t="shared" si="1"/>
        <v>3.0109146560732263E-2</v>
      </c>
      <c r="O35">
        <f t="shared" si="0"/>
        <v>2.4999149999999997</v>
      </c>
      <c r="P35">
        <f t="shared" si="2"/>
        <v>3.2513088615625269E-2</v>
      </c>
    </row>
    <row r="36" spans="2:16" x14ac:dyDescent="0.25">
      <c r="B36" s="4"/>
      <c r="J36" s="15"/>
      <c r="M36">
        <v>2</v>
      </c>
      <c r="N36">
        <f t="shared" si="1"/>
        <v>2.7098231904659036E-2</v>
      </c>
      <c r="O36">
        <f t="shared" si="0"/>
        <v>2.4999149999999997</v>
      </c>
      <c r="P36">
        <f t="shared" si="2"/>
        <v>3.2513088615625269E-2</v>
      </c>
    </row>
    <row r="37" spans="2:16" x14ac:dyDescent="0.25">
      <c r="B37" s="4" t="s">
        <v>44</v>
      </c>
      <c r="C37" s="17">
        <f>IF(AND(T&lt;MIN(2*TC, 1.2),G5 &gt; 2), 0.85, 1)</f>
        <v>1</v>
      </c>
      <c r="J37" s="15"/>
      <c r="M37">
        <v>2.5</v>
      </c>
      <c r="N37">
        <f t="shared" si="1"/>
        <v>1.7342868418981784E-2</v>
      </c>
      <c r="O37">
        <f t="shared" si="0"/>
        <v>2.4999149999999997</v>
      </c>
      <c r="P37">
        <f t="shared" si="2"/>
        <v>3.2513088615625269E-2</v>
      </c>
    </row>
    <row r="38" spans="2:16" ht="15.75" thickBot="1" x14ac:dyDescent="0.3">
      <c r="B38" s="22" t="s">
        <v>45</v>
      </c>
      <c r="C38" s="23">
        <f>C37*C34*G4</f>
        <v>156.09112286901362</v>
      </c>
      <c r="D38" s="24" t="s">
        <v>12</v>
      </c>
      <c r="E38" s="24"/>
      <c r="F38" s="24"/>
      <c r="G38" s="24"/>
      <c r="H38" s="24"/>
      <c r="I38" s="24"/>
      <c r="J38" s="25"/>
      <c r="M38">
        <v>3</v>
      </c>
      <c r="N38">
        <f t="shared" si="1"/>
        <v>1.2043658624292904E-2</v>
      </c>
      <c r="O38">
        <f t="shared" si="0"/>
        <v>2.4999149999999997</v>
      </c>
      <c r="P38">
        <f t="shared" si="2"/>
        <v>3.2513088615625269E-2</v>
      </c>
    </row>
    <row r="39" spans="2:16" x14ac:dyDescent="0.25">
      <c r="M39">
        <v>4</v>
      </c>
      <c r="N39">
        <f t="shared" si="1"/>
        <v>6.7745579761647589E-3</v>
      </c>
      <c r="O39">
        <f t="shared" si="0"/>
        <v>2.4999149999999997</v>
      </c>
      <c r="P39">
        <f t="shared" si="2"/>
        <v>3.2513088615625269E-2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25A5E-EF09-4E1E-B255-17BF28B98D6A}">
  <sheetPr codeName="Tabelle1"/>
  <dimension ref="A1:AD33"/>
  <sheetViews>
    <sheetView workbookViewId="0">
      <selection activeCell="F4" sqref="F4"/>
    </sheetView>
  </sheetViews>
  <sheetFormatPr baseColWidth="10" defaultRowHeight="15" x14ac:dyDescent="0.25"/>
  <cols>
    <col min="3" max="3" width="13.140625" bestFit="1" customWidth="1"/>
    <col min="4" max="8" width="13.140625" customWidth="1"/>
    <col min="9" max="9" width="13.7109375" bestFit="1" customWidth="1"/>
    <col min="10" max="14" width="13.7109375" customWidth="1"/>
    <col min="15" max="15" width="15.85546875" customWidth="1"/>
    <col min="16" max="16" width="14.85546875" bestFit="1" customWidth="1"/>
    <col min="17" max="17" width="14.85546875" customWidth="1"/>
    <col min="18" max="18" width="12.28515625" bestFit="1" customWidth="1"/>
    <col min="20" max="20" width="12.5703125" bestFit="1" customWidth="1"/>
  </cols>
  <sheetData>
    <row r="1" spans="1:30" ht="15.75" thickBot="1" x14ac:dyDescent="0.3"/>
    <row r="2" spans="1:30" x14ac:dyDescent="0.25">
      <c r="A2" s="3" t="s">
        <v>25</v>
      </c>
      <c r="B2" t="s">
        <v>80</v>
      </c>
      <c r="R2" s="11" t="s">
        <v>81</v>
      </c>
      <c r="S2" s="12"/>
      <c r="T2" s="13"/>
    </row>
    <row r="3" spans="1:30" ht="18" x14ac:dyDescent="0.35">
      <c r="A3" s="3" t="s">
        <v>17</v>
      </c>
      <c r="B3" t="s">
        <v>18</v>
      </c>
      <c r="E3" s="3" t="s">
        <v>76</v>
      </c>
      <c r="F3" cm="1">
        <f t="array" ref="F3">LinearInterpolate(1/475, B9:B33,H9:H33)</f>
        <v>0.40641360769531587</v>
      </c>
      <c r="G3" t="s">
        <v>29</v>
      </c>
      <c r="R3" s="32" t="s">
        <v>82</v>
      </c>
      <c r="S3" s="3" t="s">
        <v>83</v>
      </c>
      <c r="T3" s="16" t="s">
        <v>84</v>
      </c>
    </row>
    <row r="4" spans="1:30" ht="18" x14ac:dyDescent="0.35">
      <c r="A4" s="3" t="s">
        <v>19</v>
      </c>
      <c r="B4" t="s">
        <v>20</v>
      </c>
      <c r="E4" s="3" t="s">
        <v>77</v>
      </c>
      <c r="F4" cm="1">
        <f t="array" ref="F4">LinearInterpolate(1/475, B9:B33,G9:G33)</f>
        <v>5.4196463809318071E-2</v>
      </c>
      <c r="G4" t="s">
        <v>29</v>
      </c>
      <c r="R4" s="4">
        <v>1</v>
      </c>
      <c r="S4" s="14">
        <f>1/475</f>
        <v>2.1052631578947368E-3</v>
      </c>
      <c r="T4" s="40" cm="1">
        <f t="array" ref="T4">LinearInterpolate(S4, $B$9:$B$33,$C$9:$C$33)</f>
        <v>0.14106065216908439</v>
      </c>
    </row>
    <row r="5" spans="1:30" ht="18" x14ac:dyDescent="0.35">
      <c r="E5" s="3" t="s">
        <v>79</v>
      </c>
      <c r="F5" cm="1">
        <f t="array" ref="F5">LinearInterpolate(1/475, B9:B33,C9:C33)</f>
        <v>0.14106065216908439</v>
      </c>
      <c r="G5" t="s">
        <v>29</v>
      </c>
      <c r="R5" s="4">
        <v>2</v>
      </c>
      <c r="S5" s="14">
        <f>1/4975</f>
        <v>2.0100502512562814E-4</v>
      </c>
      <c r="T5" s="33" cm="1">
        <f t="array" ref="T5">LinearInterpolate(S5, $B$9:$B$33,$C$9:$C$33)</f>
        <v>0.53307040422459473</v>
      </c>
    </row>
    <row r="6" spans="1:30" ht="18" x14ac:dyDescent="0.35">
      <c r="A6" s="3" t="s">
        <v>40</v>
      </c>
      <c r="B6">
        <v>0.5</v>
      </c>
      <c r="C6" t="s">
        <v>39</v>
      </c>
      <c r="E6" s="28" t="s">
        <v>137</v>
      </c>
      <c r="F6" cm="1">
        <f t="array" ref="F6">LinearInterpolate(0.85, C9:C33,B9:B33)</f>
        <v>5.6645704779807076E-5</v>
      </c>
      <c r="R6" s="4"/>
      <c r="T6" s="15"/>
    </row>
    <row r="7" spans="1:30" x14ac:dyDescent="0.25">
      <c r="Q7" s="2"/>
      <c r="R7" s="4"/>
      <c r="S7" t="s">
        <v>85</v>
      </c>
      <c r="T7" s="41">
        <f>S4*T4^T8</f>
        <v>6.6144864949561013E-5</v>
      </c>
    </row>
    <row r="8" spans="1:30" ht="18.75" thickBot="1" x14ac:dyDescent="0.4">
      <c r="A8" s="3" t="s">
        <v>86</v>
      </c>
      <c r="B8" s="3" t="s">
        <v>87</v>
      </c>
      <c r="C8" s="3" t="s">
        <v>88</v>
      </c>
      <c r="D8" s="34" t="s">
        <v>89</v>
      </c>
      <c r="E8" s="34" t="s">
        <v>90</v>
      </c>
      <c r="F8" s="34" t="s">
        <v>91</v>
      </c>
      <c r="G8" s="34" t="s">
        <v>92</v>
      </c>
      <c r="H8" s="3" t="s">
        <v>93</v>
      </c>
      <c r="I8" s="3" t="s">
        <v>94</v>
      </c>
      <c r="J8" s="3" t="s">
        <v>95</v>
      </c>
      <c r="K8" s="3" t="s">
        <v>96</v>
      </c>
      <c r="L8" s="3" t="s">
        <v>97</v>
      </c>
      <c r="M8" s="3" t="s">
        <v>98</v>
      </c>
      <c r="N8" s="3" t="s">
        <v>99</v>
      </c>
      <c r="O8" s="3" t="s">
        <v>100</v>
      </c>
      <c r="P8" s="3" t="s">
        <v>101</v>
      </c>
      <c r="Q8" s="2"/>
      <c r="R8" s="22"/>
      <c r="S8" s="24" t="s">
        <v>102</v>
      </c>
      <c r="T8" s="35">
        <f>ABS(LOG(S5/S4)) / ABS(LOG(T5/T4))</f>
        <v>1.7667771667260399</v>
      </c>
      <c r="AD8" t="s">
        <v>130</v>
      </c>
    </row>
    <row r="9" spans="1:30" ht="15.75" thickBot="1" x14ac:dyDescent="0.3">
      <c r="A9" s="14">
        <v>0.99975599999999998</v>
      </c>
      <c r="B9" s="17">
        <f>-1 * LN(1-A9) / 50</f>
        <v>0.16636684665341964</v>
      </c>
      <c r="C9" s="27">
        <v>5.0000000000000001E-4</v>
      </c>
      <c r="D9" s="30" cm="1">
        <f t="array" ref="D9">IF(B9&gt;MAX(raw_hazard_data!$C$3:$C$27),raw_hazard_data!$B$3, IF(hazard_calcs!B9&lt;MIN(raw_hazard_data!$C$3:$C$27),raw_hazard_data!$B$27, LinearInterpolate(hazard_calcs!B9,raw_hazard_data!$C$3:$C$27,raw_hazard_data!$B$3:$B$27)))</f>
        <v>5.0000000000000001E-4</v>
      </c>
      <c r="E9" s="30" cm="1">
        <f t="array" ref="E9">IF(B9&gt;MAX(raw_hazard_data!$F$3:$F$27),raw_hazard_data!$E$3, IF(hazard_calcs!B9&lt;MIN(raw_hazard_data!$F$3:$F$27),raw_hazard_data!$E$27, LinearInterpolate(hazard_calcs!B9,raw_hazard_data!$F$3:$F$27,raw_hazard_data!$E$3:$E$27)))</f>
        <v>6.3375246423011237E-4</v>
      </c>
      <c r="F9" s="30" cm="1">
        <f t="array" ref="F9">IF(B9&gt;MAX(raw_hazard_data!$I$3:$I$27),raw_hazard_data!$H$3, IF(hazard_calcs!B9&lt;MIN(raw_hazard_data!$I$3:$I$27),raw_hazard_data!$H$27, LinearInterpolate(hazard_calcs!B9,raw_hazard_data!$I$3:$I$27,raw_hazard_data!$H$3:$H$27)))</f>
        <v>7.7088572141703745E-4</v>
      </c>
      <c r="G9" s="30" cm="1">
        <f t="array" ref="G9">IF(B9&gt;MAX(raw_hazard_data!$L$3:$L$27),raw_hazard_data!$K$3, IF(hazard_calcs!B9&lt;MIN(raw_hazard_data!$L$3:$L$27),raw_hazard_data!$K$27, LinearInterpolate(hazard_calcs!B9,raw_hazard_data!$L$3:$L$27,raw_hazard_data!$K$3:$K$27)))</f>
        <v>5.0000000000000001E-4</v>
      </c>
      <c r="H9" s="30">
        <f>AVERAGE(D9:F9)</f>
        <v>6.3487939521571658E-4</v>
      </c>
      <c r="I9" s="30">
        <f>1.6*(1-0.2*H9)</f>
        <v>1.5997968385935311</v>
      </c>
      <c r="J9" s="30">
        <f>2.3*(1-0.3*G9)</f>
        <v>2.299655</v>
      </c>
      <c r="K9" s="7">
        <f>(J9*G9)/(I9*H9)</f>
        <v>1.132078714048226</v>
      </c>
      <c r="L9" s="30">
        <f>IF($B$6&lt;K9,I9,I9+($B$6-K9)*(J9-I9)/(1-K9))</f>
        <v>1.5997968385935311</v>
      </c>
      <c r="M9" s="30">
        <f>IF($B$6&lt;0.2,I9,I9+($B$6-0.2)*(J9-I9)/(1-0.2))</f>
        <v>1.8622436491209569</v>
      </c>
      <c r="N9" s="30">
        <f>C9*M9</f>
        <v>9.3112182456047841E-4</v>
      </c>
      <c r="O9" s="30">
        <f t="shared" ref="O9:O33" si="0">$T$7*C9^(-$T$8)</f>
        <v>44.944914344809568</v>
      </c>
      <c r="P9" s="30">
        <f t="shared" ref="P9:P33" si="1">$T$29*C9^(-$T$30-$T$31*LN(C9))</f>
        <v>0.10132659899562353</v>
      </c>
      <c r="Q9" s="2"/>
      <c r="AD9" s="2">
        <f>risk_based_force_calcs!$D$49*hazard_calcs!C9^(-risk_based_force_calcs!$D$46)</f>
        <v>47273.095303205642</v>
      </c>
    </row>
    <row r="10" spans="1:30" x14ac:dyDescent="0.25">
      <c r="A10" s="14">
        <v>0.99934400000000001</v>
      </c>
      <c r="B10" s="17">
        <f t="shared" ref="B10:B33" si="2">-1 * LN(1-A10) / 50</f>
        <v>0.14658699538040401</v>
      </c>
      <c r="C10" s="27">
        <v>7.2710799999999899E-4</v>
      </c>
      <c r="D10" s="30" cm="1">
        <f t="array" ref="D10">IF(B10&gt;MAX(raw_hazard_data!$C$3:$C$27),raw_hazard_data!$B$3, IF(hazard_calcs!B10&lt;MIN(raw_hazard_data!$C$3:$C$27),raw_hazard_data!$B$27, LinearInterpolate(hazard_calcs!B10,raw_hazard_data!$C$3:$C$27,raw_hazard_data!$B$3:$B$27)))</f>
        <v>7.0430975583351868E-4</v>
      </c>
      <c r="E10" s="30" cm="1">
        <f t="array" ref="E10">IF(B10&gt;MAX(raw_hazard_data!$F$3:$F$27),raw_hazard_data!$E$3, IF(hazard_calcs!B10&lt;MIN(raw_hazard_data!$F$3:$F$27),raw_hazard_data!$E$27, LinearInterpolate(hazard_calcs!B10,raw_hazard_data!$F$3:$F$27,raw_hazard_data!$E$3:$E$27)))</f>
        <v>9.6827022110385953E-4</v>
      </c>
      <c r="F10" s="30" cm="1">
        <f t="array" ref="F10">IF(B10&gt;MAX(raw_hazard_data!$I$3:$I$27),raw_hazard_data!$H$3, IF(hazard_calcs!B10&lt;MIN(raw_hazard_data!$I$3:$I$27),raw_hazard_data!$H$27, LinearInterpolate(hazard_calcs!B10,raw_hazard_data!$I$3:$I$27,raw_hazard_data!$H$3:$H$27)))</f>
        <v>1.1670903170462599E-3</v>
      </c>
      <c r="G10" s="30" cm="1">
        <f t="array" ref="G10">IF(B10&gt;MAX(raw_hazard_data!$L$3:$L$27),raw_hazard_data!$K$3, IF(hazard_calcs!B10&lt;MIN(raw_hazard_data!$L$3:$L$27),raw_hazard_data!$K$27, LinearInterpolate(hazard_calcs!B10,raw_hazard_data!$L$3:$L$27,raw_hazard_data!$K$3:$K$27)))</f>
        <v>5.0000000000000001E-4</v>
      </c>
      <c r="H10" s="30">
        <f t="shared" ref="H10:H33" si="3">AVERAGE(D10:F10)</f>
        <v>9.4655676466121269E-4</v>
      </c>
      <c r="I10" s="30">
        <f t="shared" ref="I10:I31" si="4">1.6*(1-0.2*H10)</f>
        <v>1.5996971018353086</v>
      </c>
      <c r="J10" s="30">
        <f t="shared" ref="J10:J33" si="5">2.3*(1-0.3*G10)</f>
        <v>2.299655</v>
      </c>
      <c r="K10" s="7">
        <f t="shared" ref="K10:K30" si="6">(J10*G10)/(I10*H10)</f>
        <v>0.7593609672655961</v>
      </c>
      <c r="L10" s="30">
        <f t="shared" ref="L10:L29" si="7">IF($B$6&lt;K10,I10,I10+($B$6-K10)*(J10-I10)/(1-K10))</f>
        <v>1.5996971018353086</v>
      </c>
      <c r="M10" s="30">
        <f t="shared" ref="M10:M33" si="8">IF($B$6&lt;0.2,I10,I10+($B$6-0.2)*(J10-I10)/(1-0.2))</f>
        <v>1.862181313647068</v>
      </c>
      <c r="N10" s="30">
        <f t="shared" ref="N10:N33" si="9">C10*M10</f>
        <v>1.3540069306032904E-3</v>
      </c>
      <c r="O10" s="30">
        <f t="shared" si="0"/>
        <v>23.192709964052042</v>
      </c>
      <c r="P10" s="30">
        <f t="shared" si="1"/>
        <v>0.10636597931488398</v>
      </c>
      <c r="Q10" s="2"/>
      <c r="R10" s="11" t="s">
        <v>103</v>
      </c>
      <c r="S10" s="36"/>
      <c r="T10" s="37"/>
      <c r="AD10" s="2">
        <f>risk_based_force_calcs!$D$49*hazard_calcs!C10^(-risk_based_force_calcs!$D$46)</f>
        <v>15371.890550905542</v>
      </c>
    </row>
    <row r="11" spans="1:30" x14ac:dyDescent="0.25">
      <c r="A11" s="14">
        <v>0.99819500000000005</v>
      </c>
      <c r="B11" s="17">
        <f t="shared" si="2"/>
        <v>0.12634389374394644</v>
      </c>
      <c r="C11" s="27">
        <v>1.0573710000000001E-3</v>
      </c>
      <c r="D11" s="30" cm="1">
        <f t="array" ref="D11">IF(B11&gt;MAX(raw_hazard_data!$C$3:$C$27),raw_hazard_data!$B$3, IF(hazard_calcs!B11&lt;MIN(raw_hazard_data!$C$3:$C$27),raw_hazard_data!$B$27, LinearInterpolate(hazard_calcs!B11,raw_hazard_data!$C$3:$C$27,raw_hazard_data!$B$3:$B$27)))</f>
        <v>1.0851079887512728E-3</v>
      </c>
      <c r="E11" s="30" cm="1">
        <f t="array" ref="E11">IF(B11&gt;MAX(raw_hazard_data!$F$3:$F$27),raw_hazard_data!$E$3, IF(hazard_calcs!B11&lt;MIN(raw_hazard_data!$F$3:$F$27),raw_hazard_data!$E$27, LinearInterpolate(hazard_calcs!B11,raw_hazard_data!$F$3:$F$27,raw_hazard_data!$E$3:$E$27)))</f>
        <v>1.4102757786895433E-3</v>
      </c>
      <c r="F11" s="30" cm="1">
        <f t="array" ref="F11">IF(B11&gt;MAX(raw_hazard_data!$I$3:$I$27),raw_hazard_data!$H$3, IF(hazard_calcs!B11&lt;MIN(raw_hazard_data!$I$3:$I$27),raw_hazard_data!$H$27, LinearInterpolate(hazard_calcs!B11,raw_hazard_data!$I$3:$I$27,raw_hazard_data!$H$3:$H$27)))</f>
        <v>1.7667407305897926E-3</v>
      </c>
      <c r="G11" s="30" cm="1">
        <f t="array" ref="G11">IF(B11&gt;MAX(raw_hazard_data!$L$3:$L$27),raw_hazard_data!$K$3, IF(hazard_calcs!B11&lt;MIN(raw_hazard_data!$L$3:$L$27),raw_hazard_data!$K$27, LinearInterpolate(hazard_calcs!B11,raw_hazard_data!$L$3:$L$27,raw_hazard_data!$K$3:$K$27)))</f>
        <v>5.0000000000000001E-4</v>
      </c>
      <c r="H11" s="30">
        <f t="shared" si="3"/>
        <v>1.4207081660102029E-3</v>
      </c>
      <c r="I11" s="30">
        <f t="shared" si="4"/>
        <v>1.599545373386877</v>
      </c>
      <c r="J11" s="30">
        <f t="shared" si="5"/>
        <v>2.299655</v>
      </c>
      <c r="K11" s="7">
        <f t="shared" si="6"/>
        <v>0.50597755323721005</v>
      </c>
      <c r="L11" s="30">
        <f t="shared" si="7"/>
        <v>1.599545373386877</v>
      </c>
      <c r="M11" s="30">
        <f t="shared" si="8"/>
        <v>1.8620864833667981</v>
      </c>
      <c r="N11" s="30">
        <f t="shared" si="9"/>
        <v>1.9689162470040347E-3</v>
      </c>
      <c r="O11" s="30">
        <f t="shared" si="0"/>
        <v>11.968045341636087</v>
      </c>
      <c r="P11" s="30">
        <f t="shared" si="1"/>
        <v>0.10690815298963843</v>
      </c>
      <c r="Q11" s="2"/>
      <c r="R11" s="4" t="s">
        <v>82</v>
      </c>
      <c r="S11" t="s">
        <v>104</v>
      </c>
      <c r="T11" s="15" t="s">
        <v>84</v>
      </c>
      <c r="AD11" s="2">
        <f>risk_based_force_calcs!$D$49*hazard_calcs!C11^(-risk_based_force_calcs!$D$46)</f>
        <v>4998.5249868468045</v>
      </c>
    </row>
    <row r="12" spans="1:30" x14ac:dyDescent="0.25">
      <c r="A12" s="14">
        <v>0.99518300000000004</v>
      </c>
      <c r="B12" s="17">
        <f t="shared" si="2"/>
        <v>0.10671207902668123</v>
      </c>
      <c r="C12" s="27">
        <v>1.53764599999999E-3</v>
      </c>
      <c r="D12" s="30" cm="1">
        <f t="array" ref="D12">IF(B12&gt;MAX(raw_hazard_data!$C$3:$C$27),raw_hazard_data!$B$3, IF(hazard_calcs!B12&lt;MIN(raw_hazard_data!$C$3:$C$27),raw_hazard_data!$B$27, LinearInterpolate(hazard_calcs!B12,raw_hazard_data!$C$3:$C$27,raw_hazard_data!$B$3:$B$27)))</f>
        <v>1.7101685694036963E-3</v>
      </c>
      <c r="E12" s="30" cm="1">
        <f t="array" ref="E12">IF(B12&gt;MAX(raw_hazard_data!$F$3:$F$27),raw_hazard_data!$E$3, IF(hazard_calcs!B12&lt;MIN(raw_hazard_data!$F$3:$F$27),raw_hazard_data!$E$27, LinearInterpolate(hazard_calcs!B12,raw_hazard_data!$F$3:$F$27,raw_hazard_data!$E$3:$E$27)))</f>
        <v>2.2445293263589823E-3</v>
      </c>
      <c r="F12" s="30" cm="1">
        <f t="array" ref="F12">IF(B12&gt;MAX(raw_hazard_data!$I$3:$I$27),raw_hazard_data!$H$3, IF(hazard_calcs!B12&lt;MIN(raw_hazard_data!$I$3:$I$27),raw_hazard_data!$H$27, LinearInterpolate(hazard_calcs!B12,raw_hazard_data!$I$3:$I$27,raw_hazard_data!$H$3:$H$27)))</f>
        <v>2.6707395183475017E-3</v>
      </c>
      <c r="G12" s="30" cm="1">
        <f t="array" ref="G12">IF(B12&gt;MAX(raw_hazard_data!$L$3:$L$27),raw_hazard_data!$K$3, IF(hazard_calcs!B12&lt;MIN(raw_hazard_data!$L$3:$L$27),raw_hazard_data!$K$27, LinearInterpolate(hazard_calcs!B12,raw_hazard_data!$L$3:$L$27,raw_hazard_data!$K$3:$K$27)))</f>
        <v>6.4379175884156121E-4</v>
      </c>
      <c r="H12" s="30">
        <f t="shared" si="3"/>
        <v>2.2084791380367268E-3</v>
      </c>
      <c r="I12" s="30">
        <f t="shared" si="4"/>
        <v>1.5992932866758283</v>
      </c>
      <c r="J12" s="30">
        <f t="shared" si="5"/>
        <v>2.2995557836863991</v>
      </c>
      <c r="K12" s="7">
        <f t="shared" si="6"/>
        <v>0.41914852962850818</v>
      </c>
      <c r="L12" s="30">
        <f t="shared" si="7"/>
        <v>1.6967661440538198</v>
      </c>
      <c r="M12" s="30">
        <f t="shared" si="8"/>
        <v>1.8618917230547924</v>
      </c>
      <c r="N12" s="30">
        <f t="shared" si="9"/>
        <v>2.8629303603882909E-3</v>
      </c>
      <c r="O12" s="30">
        <f t="shared" si="0"/>
        <v>6.1758121700858331</v>
      </c>
      <c r="P12" s="30">
        <f t="shared" si="1"/>
        <v>0.10288397152685337</v>
      </c>
      <c r="Q12" s="2"/>
      <c r="R12" s="4">
        <v>1</v>
      </c>
      <c r="S12" s="38">
        <f>1/10</f>
        <v>0.1</v>
      </c>
      <c r="T12" s="33" cm="1">
        <f t="array" ref="T12">LinearInterpolate(S12, $B$9:$B$33,$C$9:$C$33)</f>
        <v>1.7940223812556565E-3</v>
      </c>
      <c r="AD12" s="2">
        <f>risk_based_force_calcs!$D$49*hazard_calcs!C12^(-risk_based_force_calcs!$D$46)</f>
        <v>1625.3801968497455</v>
      </c>
    </row>
    <row r="13" spans="1:30" x14ac:dyDescent="0.25">
      <c r="A13" s="14">
        <v>0.98798200000000003</v>
      </c>
      <c r="B13" s="17">
        <f t="shared" si="2"/>
        <v>8.8426995061408054E-2</v>
      </c>
      <c r="C13" s="27">
        <v>2.2360679999999899E-3</v>
      </c>
      <c r="D13" s="30" cm="1">
        <f t="array" ref="D13">IF(B13&gt;MAX(raw_hazard_data!$C$3:$C$27),raw_hazard_data!$B$3, IF(hazard_calcs!B13&lt;MIN(raw_hazard_data!$C$3:$C$27),raw_hazard_data!$B$27, LinearInterpolate(hazard_calcs!B13,raw_hazard_data!$C$3:$C$27,raw_hazard_data!$B$3:$B$27)))</f>
        <v>2.6897176279564949E-3</v>
      </c>
      <c r="E13" s="30" cm="1">
        <f t="array" ref="E13">IF(B13&gt;MAX(raw_hazard_data!$F$3:$F$27),raw_hazard_data!$E$3, IF(hazard_calcs!B13&lt;MIN(raw_hazard_data!$F$3:$F$27),raw_hazard_data!$E$27, LinearInterpolate(hazard_calcs!B13,raw_hazard_data!$F$3:$F$27,raw_hazard_data!$E$3:$E$27)))</f>
        <v>3.4674374001062106E-3</v>
      </c>
      <c r="F13" s="30" cm="1">
        <f t="array" ref="F13">IF(B13&gt;MAX(raw_hazard_data!$I$3:$I$27),raw_hazard_data!$H$3, IF(hazard_calcs!B13&lt;MIN(raw_hazard_data!$I$3:$I$27),raw_hazard_data!$H$27, LinearInterpolate(hazard_calcs!B13,raw_hazard_data!$I$3:$I$27,raw_hazard_data!$H$3:$H$27)))</f>
        <v>4.0278580699525121E-3</v>
      </c>
      <c r="G13" s="30" cm="1">
        <f t="array" ref="G13">IF(B13&gt;MAX(raw_hazard_data!$L$3:$L$27),raw_hazard_data!$K$3, IF(hazard_calcs!B13&lt;MIN(raw_hazard_data!$L$3:$L$27),raw_hazard_data!$K$27, LinearInterpolate(hazard_calcs!B13,raw_hazard_data!$L$3:$L$27,raw_hazard_data!$K$3:$K$27)))</f>
        <v>9.3032902432895988E-4</v>
      </c>
      <c r="H13" s="30">
        <f t="shared" si="3"/>
        <v>3.3950043660050722E-3</v>
      </c>
      <c r="I13" s="30">
        <f t="shared" si="4"/>
        <v>1.5989135986028784</v>
      </c>
      <c r="J13" s="30">
        <f t="shared" si="5"/>
        <v>2.299358072973213</v>
      </c>
      <c r="K13" s="7">
        <f t="shared" si="6"/>
        <v>0.39407405704753423</v>
      </c>
      <c r="L13" s="30">
        <f t="shared" si="7"/>
        <v>1.7213629544960993</v>
      </c>
      <c r="M13" s="30">
        <f t="shared" si="8"/>
        <v>1.8615802764917539</v>
      </c>
      <c r="N13" s="30">
        <f t="shared" si="9"/>
        <v>4.1626200856943445E-3</v>
      </c>
      <c r="O13" s="30">
        <f t="shared" si="0"/>
        <v>3.1868784876240697</v>
      </c>
      <c r="P13" s="30">
        <f t="shared" si="1"/>
        <v>9.4801122422669637E-2</v>
      </c>
      <c r="Q13" s="2"/>
      <c r="R13" s="4">
        <v>2</v>
      </c>
      <c r="S13" s="14">
        <f>1/475</f>
        <v>2.1052631578947368E-3</v>
      </c>
      <c r="T13" s="33" cm="1">
        <f t="array" ref="T13">LinearInterpolate(S13, $B$9:$B$33,$C$9:$C$33)</f>
        <v>0.14106065216908439</v>
      </c>
      <c r="AD13" s="2">
        <f>risk_based_force_calcs!$D$49*hazard_calcs!C13^(-risk_based_force_calcs!$D$46)</f>
        <v>528.52925706915801</v>
      </c>
    </row>
    <row r="14" spans="1:30" x14ac:dyDescent="0.25">
      <c r="A14" s="14">
        <v>0.97256900000000002</v>
      </c>
      <c r="B14" s="17">
        <f t="shared" si="2"/>
        <v>7.192163036525169E-2</v>
      </c>
      <c r="C14" s="27">
        <v>3.251725E-3</v>
      </c>
      <c r="D14" s="30" cm="1">
        <f t="array" ref="D14">IF(B14&gt;MAX(raw_hazard_data!$C$3:$C$27),raw_hazard_data!$B$3, IF(hazard_calcs!B14&lt;MIN(raw_hazard_data!$C$3:$C$27),raw_hazard_data!$B$27, LinearInterpolate(hazard_calcs!B14,raw_hazard_data!$C$3:$C$27,raw_hazard_data!$B$3:$B$27)))</f>
        <v>4.2154558482998591E-3</v>
      </c>
      <c r="E14" s="30" cm="1">
        <f t="array" ref="E14">IF(B14&gt;MAX(raw_hazard_data!$F$3:$F$27),raw_hazard_data!$E$3, IF(hazard_calcs!B14&lt;MIN(raw_hazard_data!$F$3:$F$27),raw_hazard_data!$E$27, LinearInterpolate(hazard_calcs!B14,raw_hazard_data!$F$3:$F$27,raw_hazard_data!$E$3:$E$27)))</f>
        <v>5.3796808626947676E-3</v>
      </c>
      <c r="F14" s="30" cm="1">
        <f t="array" ref="F14">IF(B14&gt;MAX(raw_hazard_data!$I$3:$I$27),raw_hazard_data!$H$3, IF(hazard_calcs!B14&lt;MIN(raw_hazard_data!$I$3:$I$27),raw_hazard_data!$H$27, LinearInterpolate(hazard_calcs!B14,raw_hazard_data!$I$3:$I$27,raw_hazard_data!$H$3:$H$27)))</f>
        <v>6.060240320271814E-3</v>
      </c>
      <c r="G14" s="30" cm="1">
        <f t="array" ref="G14">IF(B14&gt;MAX(raw_hazard_data!$L$3:$L$27),raw_hazard_data!$K$3, IF(hazard_calcs!B14&lt;MIN(raw_hazard_data!$L$3:$L$27),raw_hazard_data!$K$27, LinearInterpolate(hazard_calcs!B14,raw_hazard_data!$L$3:$L$27,raw_hazard_data!$K$3:$K$27)))</f>
        <v>1.3489980882469808E-3</v>
      </c>
      <c r="H14" s="30">
        <f t="shared" si="3"/>
        <v>5.2184590104221466E-3</v>
      </c>
      <c r="I14" s="30">
        <f t="shared" si="4"/>
        <v>1.5983300931166651</v>
      </c>
      <c r="J14" s="30">
        <f t="shared" si="5"/>
        <v>2.2990691913191093</v>
      </c>
      <c r="K14" s="7">
        <f t="shared" si="6"/>
        <v>0.37183872995189476</v>
      </c>
      <c r="L14" s="30">
        <f t="shared" si="7"/>
        <v>1.7412991316107314</v>
      </c>
      <c r="M14" s="30">
        <f t="shared" si="8"/>
        <v>1.8611072549425816</v>
      </c>
      <c r="N14" s="30">
        <f t="shared" si="9"/>
        <v>6.051808988578166E-3</v>
      </c>
      <c r="O14" s="30">
        <f t="shared" si="0"/>
        <v>1.6445104897064631</v>
      </c>
      <c r="P14" s="30">
        <f t="shared" si="1"/>
        <v>8.3638844777824545E-2</v>
      </c>
      <c r="Q14" s="2"/>
      <c r="R14" s="4">
        <v>3</v>
      </c>
      <c r="S14" s="14">
        <f>1/4975</f>
        <v>2.0100502512562814E-4</v>
      </c>
      <c r="T14" s="33" cm="1">
        <f t="array" ref="T14">LinearInterpolate(S14, $B$9:$B$33,$C$9:$C$33)</f>
        <v>0.53307040422459473</v>
      </c>
      <c r="AD14" s="2">
        <f>risk_based_force_calcs!$D$49*hazard_calcs!C14^(-risk_based_force_calcs!$D$46)</f>
        <v>171.86309267110764</v>
      </c>
    </row>
    <row r="15" spans="1:30" x14ac:dyDescent="0.25">
      <c r="A15" s="14">
        <v>0.94330499999999995</v>
      </c>
      <c r="B15" s="17">
        <f t="shared" si="2"/>
        <v>5.7401385111166665E-2</v>
      </c>
      <c r="C15" s="27">
        <v>4.7287079999999903E-3</v>
      </c>
      <c r="D15" s="30" cm="1">
        <f t="array" ref="D15">IF(B15&gt;MAX(raw_hazard_data!$C$3:$C$27),raw_hazard_data!$B$3, IF(hazard_calcs!B15&lt;MIN(raw_hazard_data!$C$3:$C$27),raw_hazard_data!$B$27, LinearInterpolate(hazard_calcs!B15,raw_hazard_data!$C$3:$C$27,raw_hazard_data!$B$3:$B$27)))</f>
        <v>6.5828026542648676E-3</v>
      </c>
      <c r="E15" s="30" cm="1">
        <f t="array" ref="E15">IF(B15&gt;MAX(raw_hazard_data!$F$3:$F$27),raw_hazard_data!$E$3, IF(hazard_calcs!B15&lt;MIN(raw_hazard_data!$F$3:$F$27),raw_hazard_data!$E$27, LinearInterpolate(hazard_calcs!B15,raw_hazard_data!$F$3:$F$27,raw_hazard_data!$E$3:$E$27)))</f>
        <v>8.320376682798036E-3</v>
      </c>
      <c r="F15" s="30" cm="1">
        <f t="array" ref="F15">IF(B15&gt;MAX(raw_hazard_data!$I$3:$I$27),raw_hazard_data!$H$3, IF(hazard_calcs!B15&lt;MIN(raw_hazard_data!$I$3:$I$27),raw_hazard_data!$H$27, LinearInterpolate(hazard_calcs!B15,raw_hazard_data!$I$3:$I$27,raw_hazard_data!$H$3:$H$27)))</f>
        <v>9.1035416970755741E-3</v>
      </c>
      <c r="G15" s="30" cm="1">
        <f t="array" ref="G15">IF(B15&gt;MAX(raw_hazard_data!$L$3:$L$27),raw_hazard_data!$K$3, IF(hazard_calcs!B15&lt;MIN(raw_hazard_data!$L$3:$L$27),raw_hazard_data!$K$27, LinearInterpolate(hazard_calcs!B15,raw_hazard_data!$L$3:$L$27,raw_hazard_data!$K$3:$K$27)))</f>
        <v>1.961664060981993E-3</v>
      </c>
      <c r="H15" s="30">
        <f t="shared" si="3"/>
        <v>8.0022403447128267E-3</v>
      </c>
      <c r="I15" s="30">
        <f t="shared" si="4"/>
        <v>1.597439283089692</v>
      </c>
      <c r="J15" s="30">
        <f t="shared" si="5"/>
        <v>2.2986464517979224</v>
      </c>
      <c r="K15" s="7">
        <f t="shared" si="6"/>
        <v>0.35274499727089353</v>
      </c>
      <c r="L15" s="30">
        <f t="shared" si="7"/>
        <v>1.7569687778119059</v>
      </c>
      <c r="M15" s="30">
        <f t="shared" si="8"/>
        <v>1.8603919713552783</v>
      </c>
      <c r="N15" s="30">
        <f t="shared" si="9"/>
        <v>8.7972503980834581E-3</v>
      </c>
      <c r="O15" s="30">
        <f t="shared" si="0"/>
        <v>0.84860971090280923</v>
      </c>
      <c r="P15" s="30">
        <f t="shared" si="1"/>
        <v>7.065313623060944E-2</v>
      </c>
      <c r="Q15" s="2"/>
      <c r="R15" s="4"/>
      <c r="T15" s="15"/>
      <c r="AD15" s="2">
        <f>risk_based_force_calcs!$D$49*hazard_calcs!C15^(-risk_based_force_calcs!$D$46)</f>
        <v>55.885168114298068</v>
      </c>
    </row>
    <row r="16" spans="1:30" x14ac:dyDescent="0.25">
      <c r="A16" s="14">
        <v>0.89406799999999997</v>
      </c>
      <c r="B16" s="17">
        <f t="shared" si="2"/>
        <v>4.4899158003185044E-2</v>
      </c>
      <c r="C16" s="27">
        <v>6.8765600000000003E-3</v>
      </c>
      <c r="D16" s="30" cm="1">
        <f t="array" ref="D16">IF(B16&gt;MAX(raw_hazard_data!$C$3:$C$27),raw_hazard_data!$B$3, IF(hazard_calcs!B16&lt;MIN(raw_hazard_data!$C$3:$C$27),raw_hazard_data!$B$27, LinearInterpolate(hazard_calcs!B16,raw_hazard_data!$C$3:$C$27,raw_hazard_data!$B$3:$B$27)))</f>
        <v>1.0254212753537445E-2</v>
      </c>
      <c r="E16" s="30" cm="1">
        <f t="array" ref="E16">IF(B16&gt;MAX(raw_hazard_data!$F$3:$F$27),raw_hazard_data!$E$3, IF(hazard_calcs!B16&lt;MIN(raw_hazard_data!$F$3:$F$27),raw_hazard_data!$E$27, LinearInterpolate(hazard_calcs!B16,raw_hazard_data!$F$3:$F$27,raw_hazard_data!$E$3:$E$27)))</f>
        <v>1.2846108989849891E-2</v>
      </c>
      <c r="F16" s="30" cm="1">
        <f t="array" ref="F16">IF(B16&gt;MAX(raw_hazard_data!$I$3:$I$27),raw_hazard_data!$H$3, IF(hazard_calcs!B16&lt;MIN(raw_hazard_data!$I$3:$I$27),raw_hazard_data!$H$27, LinearInterpolate(hazard_calcs!B16,raw_hazard_data!$I$3:$I$27,raw_hazard_data!$H$3:$H$27)))</f>
        <v>1.3673408964231231E-2</v>
      </c>
      <c r="G16" s="30" cm="1">
        <f t="array" ref="G16">IF(B16&gt;MAX(raw_hazard_data!$L$3:$L$27),raw_hazard_data!$K$3, IF(hazard_calcs!B16&lt;MIN(raw_hazard_data!$L$3:$L$27),raw_hazard_data!$K$27, LinearInterpolate(hazard_calcs!B16,raw_hazard_data!$L$3:$L$27,raw_hazard_data!$K$3:$K$27)))</f>
        <v>2.8558652480264158E-3</v>
      </c>
      <c r="H16" s="30">
        <f t="shared" si="3"/>
        <v>1.2257910235872855E-2</v>
      </c>
      <c r="I16" s="30">
        <f t="shared" si="4"/>
        <v>1.5960774687245207</v>
      </c>
      <c r="J16" s="30">
        <f t="shared" si="5"/>
        <v>2.2980294529788616</v>
      </c>
      <c r="K16" s="7">
        <f t="shared" si="6"/>
        <v>0.33544621719208484</v>
      </c>
      <c r="L16" s="30">
        <f t="shared" si="7"/>
        <v>1.7698916239468694</v>
      </c>
      <c r="M16" s="30">
        <f t="shared" si="8"/>
        <v>1.8593094628198985</v>
      </c>
      <c r="N16" s="30">
        <f t="shared" si="9"/>
        <v>1.2785653079648802E-2</v>
      </c>
      <c r="O16" s="30">
        <f t="shared" si="0"/>
        <v>0.43790434379330073</v>
      </c>
      <c r="P16" s="30">
        <f t="shared" si="1"/>
        <v>5.7145714975904684E-2</v>
      </c>
      <c r="Q16" s="2"/>
      <c r="R16" s="4" t="s">
        <v>82</v>
      </c>
      <c r="S16" t="s">
        <v>105</v>
      </c>
      <c r="T16" s="15" t="s">
        <v>106</v>
      </c>
      <c r="AD16" s="2">
        <f>risk_based_force_calcs!$D$49*hazard_calcs!C16^(-risk_based_force_calcs!$D$46)</f>
        <v>18.172318607041966</v>
      </c>
    </row>
    <row r="17" spans="1:30" x14ac:dyDescent="0.25">
      <c r="A17" s="14">
        <v>0.82040400000000002</v>
      </c>
      <c r="B17" s="17">
        <f t="shared" si="2"/>
        <v>3.4340907901539569E-2</v>
      </c>
      <c r="C17" s="27">
        <v>0.01</v>
      </c>
      <c r="D17" s="30" cm="1">
        <f t="array" ref="D17">IF(B17&gt;MAX(raw_hazard_data!$C$3:$C$27),raw_hazard_data!$B$3, IF(hazard_calcs!B17&lt;MIN(raw_hazard_data!$C$3:$C$27),raw_hazard_data!$B$27, LinearInterpolate(hazard_calcs!B17,raw_hazard_data!$C$3:$C$27,raw_hazard_data!$B$3:$B$27)))</f>
        <v>1.6073309297985734E-2</v>
      </c>
      <c r="E17" s="30" cm="1">
        <f t="array" ref="E17">IF(B17&gt;MAX(raw_hazard_data!$F$3:$F$27),raw_hazard_data!$E$3, IF(hazard_calcs!B17&lt;MIN(raw_hazard_data!$F$3:$F$27),raw_hazard_data!$E$27, LinearInterpolate(hazard_calcs!B17,raw_hazard_data!$F$3:$F$27,raw_hazard_data!$E$3:$E$27)))</f>
        <v>1.9840440204310934E-2</v>
      </c>
      <c r="F17" s="30" cm="1">
        <f t="array" ref="F17">IF(B17&gt;MAX(raw_hazard_data!$I$3:$I$27),raw_hazard_data!$H$3, IF(hazard_calcs!B17&lt;MIN(raw_hazard_data!$I$3:$I$27),raw_hazard_data!$H$27, LinearInterpolate(hazard_calcs!B17,raw_hazard_data!$I$3:$I$27,raw_hazard_data!$H$3:$H$27)))</f>
        <v>2.0575969103177119E-2</v>
      </c>
      <c r="G17" s="30" cm="1">
        <f t="array" ref="G17">IF(B17&gt;MAX(raw_hazard_data!$L$3:$L$27),raw_hazard_data!$K$3, IF(hazard_calcs!B17&lt;MIN(raw_hazard_data!$L$3:$L$27),raw_hazard_data!$K$27, LinearInterpolate(hazard_calcs!B17,raw_hazard_data!$L$3:$L$27,raw_hazard_data!$K$3:$K$27)))</f>
        <v>4.1515965479838402E-3</v>
      </c>
      <c r="H17" s="30">
        <f t="shared" si="3"/>
        <v>1.8829906201824596E-2</v>
      </c>
      <c r="I17" s="30">
        <f t="shared" si="4"/>
        <v>1.5939744300154164</v>
      </c>
      <c r="J17" s="30">
        <f t="shared" si="5"/>
        <v>2.297135398381891</v>
      </c>
      <c r="K17" s="7">
        <f t="shared" si="6"/>
        <v>0.31774024746899354</v>
      </c>
      <c r="L17" s="30">
        <f t="shared" si="7"/>
        <v>1.7818177603723719</v>
      </c>
      <c r="M17" s="30">
        <f t="shared" si="8"/>
        <v>1.8576597931528442</v>
      </c>
      <c r="N17" s="30">
        <f t="shared" si="9"/>
        <v>1.8576597931528441E-2</v>
      </c>
      <c r="O17" s="30">
        <f t="shared" si="0"/>
        <v>0.22596983449736632</v>
      </c>
      <c r="P17" s="30">
        <f t="shared" si="1"/>
        <v>4.4255240731599234E-2</v>
      </c>
      <c r="Q17" s="2"/>
      <c r="R17" s="4">
        <v>1</v>
      </c>
      <c r="S17" s="17">
        <f t="shared" ref="S17:T19" si="10">LN(S12)</f>
        <v>-2.3025850929940455</v>
      </c>
      <c r="T17" s="33">
        <f t="shared" si="10"/>
        <v>-6.3232950398070447</v>
      </c>
      <c r="AD17" s="2">
        <f>risk_based_force_calcs!$D$49*hazard_calcs!C17^(-risk_based_force_calcs!$D$46)</f>
        <v>5.9091369129007054</v>
      </c>
    </row>
    <row r="18" spans="1:30" x14ac:dyDescent="0.25">
      <c r="A18" s="14">
        <v>0.72189599999999998</v>
      </c>
      <c r="B18" s="17">
        <f t="shared" si="2"/>
        <v>2.5595202690606049E-2</v>
      </c>
      <c r="C18" s="27">
        <v>1.4542153999999899E-2</v>
      </c>
      <c r="D18" s="30" cm="1">
        <f t="array" ref="D18">IF(B18&gt;MAX(raw_hazard_data!$C$3:$C$27),raw_hazard_data!$B$3, IF(hazard_calcs!B18&lt;MIN(raw_hazard_data!$C$3:$C$27),raw_hazard_data!$B$27, LinearInterpolate(hazard_calcs!B18,raw_hazard_data!$C$3:$C$27,raw_hazard_data!$B$3:$B$27)))</f>
        <v>2.6161009928460984E-2</v>
      </c>
      <c r="E18" s="30" cm="1">
        <f t="array" ref="E18">IF(B18&gt;MAX(raw_hazard_data!$F$3:$F$27),raw_hazard_data!$E$3, IF(hazard_calcs!B18&lt;MIN(raw_hazard_data!$F$3:$F$27),raw_hazard_data!$E$27, LinearInterpolate(hazard_calcs!B18,raw_hazard_data!$F$3:$F$27,raw_hazard_data!$E$3:$E$27)))</f>
        <v>3.0720026221131305E-2</v>
      </c>
      <c r="F18" s="30" cm="1">
        <f t="array" ref="F18">IF(B18&gt;MAX(raw_hazard_data!$I$3:$I$27),raw_hazard_data!$H$3, IF(hazard_calcs!B18&lt;MIN(raw_hazard_data!$I$3:$I$27),raw_hazard_data!$H$27, LinearInterpolate(hazard_calcs!B18,raw_hazard_data!$I$3:$I$27,raw_hazard_data!$H$3:$H$27)))</f>
        <v>3.1090720765209905E-2</v>
      </c>
      <c r="G18" s="30" cm="1">
        <f t="array" ref="G18">IF(B18&gt;MAX(raw_hazard_data!$L$3:$L$27),raw_hazard_data!$K$3, IF(hazard_calcs!B18&lt;MIN(raw_hazard_data!$L$3:$L$27),raw_hazard_data!$K$27, LinearInterpolate(hazard_calcs!B18,raw_hazard_data!$L$3:$L$27,raw_hazard_data!$K$3:$K$27)))</f>
        <v>6.0119185367699252E-3</v>
      </c>
      <c r="H18" s="30">
        <f t="shared" si="3"/>
        <v>2.9323918971600731E-2</v>
      </c>
      <c r="I18" s="30">
        <f t="shared" si="4"/>
        <v>1.5906163459290878</v>
      </c>
      <c r="J18" s="30">
        <f t="shared" si="5"/>
        <v>2.2958517762096284</v>
      </c>
      <c r="K18" s="7">
        <f t="shared" si="6"/>
        <v>0.29591670403484049</v>
      </c>
      <c r="L18" s="30">
        <f t="shared" si="7"/>
        <v>1.7950335958025776</v>
      </c>
      <c r="M18" s="30">
        <f t="shared" si="8"/>
        <v>1.8550796322842906</v>
      </c>
      <c r="N18" s="30">
        <f t="shared" si="9"/>
        <v>2.6976853694941339E-2</v>
      </c>
      <c r="O18" s="30">
        <f t="shared" si="0"/>
        <v>0.1166062218362072</v>
      </c>
      <c r="P18" s="30">
        <f t="shared" si="1"/>
        <v>3.281516461569501E-2</v>
      </c>
      <c r="Q18" s="2"/>
      <c r="R18" s="4">
        <v>2</v>
      </c>
      <c r="S18" s="17">
        <f t="shared" si="10"/>
        <v>-6.1633148040346413</v>
      </c>
      <c r="T18" s="33">
        <f t="shared" si="10"/>
        <v>-1.9585653238675171</v>
      </c>
      <c r="AD18" s="2">
        <f>risk_based_force_calcs!$D$49*hazard_calcs!C18^(-risk_based_force_calcs!$D$46)</f>
        <v>1.9214886972432097</v>
      </c>
    </row>
    <row r="19" spans="1:30" x14ac:dyDescent="0.25">
      <c r="A19" s="14">
        <v>0.60381499999999999</v>
      </c>
      <c r="B19" s="17">
        <f t="shared" si="2"/>
        <v>1.8517480102024333E-2</v>
      </c>
      <c r="C19" s="27">
        <v>2.1147425000000001E-2</v>
      </c>
      <c r="D19" s="30" cm="1">
        <f t="array" ref="D19">IF(B19&gt;MAX(raw_hazard_data!$C$3:$C$27),raw_hazard_data!$B$3, IF(hazard_calcs!B19&lt;MIN(raw_hazard_data!$C$3:$C$27),raw_hazard_data!$B$27, LinearInterpolate(hazard_calcs!B19,raw_hazard_data!$C$3:$C$27,raw_hazard_data!$B$3:$B$27)))</f>
        <v>4.2592939924630098E-2</v>
      </c>
      <c r="E19" s="30" cm="1">
        <f t="array" ref="E19">IF(B19&gt;MAX(raw_hazard_data!$F$3:$F$27),raw_hazard_data!$E$3, IF(hazard_calcs!B19&lt;MIN(raw_hazard_data!$F$3:$F$27),raw_hazard_data!$E$27, LinearInterpolate(hazard_calcs!B19,raw_hazard_data!$F$3:$F$27,raw_hazard_data!$E$3:$E$27)))</f>
        <v>4.7704478647249943E-2</v>
      </c>
      <c r="F19" s="30" cm="1">
        <f t="array" ref="F19">IF(B19&gt;MAX(raw_hazard_data!$I$3:$I$27),raw_hazard_data!$H$3, IF(hazard_calcs!B19&lt;MIN(raw_hazard_data!$I$3:$I$27),raw_hazard_data!$H$27, LinearInterpolate(hazard_calcs!B19,raw_hazard_data!$I$3:$I$27,raw_hazard_data!$H$3:$H$27)))</f>
        <v>4.7224201618999033E-2</v>
      </c>
      <c r="G19" s="30" cm="1">
        <f t="array" ref="G19">IF(B19&gt;MAX(raw_hazard_data!$L$3:$L$27),raw_hazard_data!$K$3, IF(hazard_calcs!B19&lt;MIN(raw_hazard_data!$L$3:$L$27),raw_hazard_data!$K$27, LinearInterpolate(hazard_calcs!B19,raw_hazard_data!$L$3:$L$27,raw_hazard_data!$K$3:$K$27)))</f>
        <v>8.661926512871343E-3</v>
      </c>
      <c r="H19" s="30">
        <f t="shared" si="3"/>
        <v>4.584054006362636E-2</v>
      </c>
      <c r="I19" s="30">
        <f t="shared" si="4"/>
        <v>1.5853310271796397</v>
      </c>
      <c r="J19" s="30">
        <f t="shared" si="5"/>
        <v>2.2940232707061186</v>
      </c>
      <c r="K19" s="7">
        <f t="shared" si="6"/>
        <v>0.27342777532527929</v>
      </c>
      <c r="L19" s="30">
        <f t="shared" si="7"/>
        <v>1.8063276091744975</v>
      </c>
      <c r="M19" s="30">
        <f t="shared" si="8"/>
        <v>1.8510906185020692</v>
      </c>
      <c r="N19" s="30">
        <f t="shared" si="9"/>
        <v>3.9145800022976122E-2</v>
      </c>
      <c r="O19" s="30">
        <f t="shared" si="0"/>
        <v>6.0171793290029398E-2</v>
      </c>
      <c r="P19" s="30">
        <f t="shared" si="1"/>
        <v>2.3297712463395934E-2</v>
      </c>
      <c r="Q19" s="2"/>
      <c r="R19" s="4">
        <v>3</v>
      </c>
      <c r="S19" s="17">
        <f t="shared" si="10"/>
        <v>-8.5121806495926933</v>
      </c>
      <c r="T19" s="33">
        <f t="shared" si="10"/>
        <v>-0.62910177306180781</v>
      </c>
      <c r="AD19" s="2">
        <f>risk_based_force_calcs!$D$49*hazard_calcs!C19^(-risk_based_force_calcs!$D$46)</f>
        <v>0.62481518017035009</v>
      </c>
    </row>
    <row r="20" spans="1:30" x14ac:dyDescent="0.25">
      <c r="A20" s="14">
        <v>0.47697699999999998</v>
      </c>
      <c r="B20" s="17">
        <f t="shared" si="2"/>
        <v>1.2962596776574542E-2</v>
      </c>
      <c r="C20" s="27">
        <v>3.0752912E-2</v>
      </c>
      <c r="D20" s="30" cm="1">
        <f t="array" ref="D20">IF(B20&gt;MAX(raw_hazard_data!$C$3:$C$27),raw_hazard_data!$B$3, IF(hazard_calcs!B20&lt;MIN(raw_hazard_data!$C$3:$C$27),raw_hazard_data!$B$27, LinearInterpolate(hazard_calcs!B20,raw_hazard_data!$C$3:$C$27,raw_hazard_data!$B$3:$B$27)))</f>
        <v>6.8925392316648987E-2</v>
      </c>
      <c r="E20" s="30" cm="1">
        <f t="array" ref="E20">IF(B20&gt;MAX(raw_hazard_data!$F$3:$F$27),raw_hazard_data!$E$3, IF(hazard_calcs!B20&lt;MIN(raw_hazard_data!$F$3:$F$27),raw_hazard_data!$E$27, LinearInterpolate(hazard_calcs!B20,raw_hazard_data!$F$3:$F$27,raw_hazard_data!$E$3:$E$27)))</f>
        <v>7.4590991878653312E-2</v>
      </c>
      <c r="F20" s="30" cm="1">
        <f t="array" ref="F20">IF(B20&gt;MAX(raw_hazard_data!$I$3:$I$27),raw_hazard_data!$H$3, IF(hazard_calcs!B20&lt;MIN(raw_hazard_data!$I$3:$I$27),raw_hazard_data!$H$27, LinearInterpolate(hazard_calcs!B20,raw_hazard_data!$I$3:$I$27,raw_hazard_data!$H$3:$H$27)))</f>
        <v>7.1949062717309761E-2</v>
      </c>
      <c r="G20" s="30" cm="1">
        <f t="array" ref="G20">IF(B20&gt;MAX(raw_hazard_data!$L$3:$L$27),raw_hazard_data!$K$3, IF(hazard_calcs!B20&lt;MIN(raw_hazard_data!$L$3:$L$27),raw_hazard_data!$K$27, LinearInterpolate(hazard_calcs!B20,raw_hazard_data!$L$3:$L$27,raw_hazard_data!$K$3:$K$27)))</f>
        <v>1.2421923875970159E-2</v>
      </c>
      <c r="H20" s="30">
        <f t="shared" si="3"/>
        <v>7.1821815637537353E-2</v>
      </c>
      <c r="I20" s="30">
        <f t="shared" si="4"/>
        <v>1.5770170189959882</v>
      </c>
      <c r="J20" s="30">
        <f t="shared" si="5"/>
        <v>2.2914288725255805</v>
      </c>
      <c r="K20" s="7">
        <f t="shared" si="6"/>
        <v>0.2513057840817613</v>
      </c>
      <c r="L20" s="30">
        <f t="shared" si="7"/>
        <v>1.8143236416180601</v>
      </c>
      <c r="M20" s="30">
        <f t="shared" si="8"/>
        <v>1.8449214640695852</v>
      </c>
      <c r="N20" s="30">
        <f t="shared" si="9"/>
        <v>5.6736707431443115E-2</v>
      </c>
      <c r="O20" s="30">
        <f t="shared" si="0"/>
        <v>3.1050184780783092E-2</v>
      </c>
      <c r="P20" s="30">
        <f t="shared" si="1"/>
        <v>1.5837287527302724E-2</v>
      </c>
      <c r="Q20" s="2"/>
      <c r="R20" s="4"/>
      <c r="T20" s="15"/>
      <c r="AD20" s="2">
        <f>risk_based_force_calcs!$D$49*hazard_calcs!C20^(-risk_based_force_calcs!$D$46)</f>
        <v>0.20317268316491782</v>
      </c>
    </row>
    <row r="21" spans="1:30" x14ac:dyDescent="0.25">
      <c r="A21" s="14">
        <v>0.354825</v>
      </c>
      <c r="B21" s="17">
        <f t="shared" si="2"/>
        <v>8.7646736231386645E-3</v>
      </c>
      <c r="C21" s="27">
        <v>4.4721360000000002E-2</v>
      </c>
      <c r="D21" s="30" cm="1">
        <f t="array" ref="D21">IF(B21&gt;MAX(raw_hazard_data!$C$3:$C$27),raw_hazard_data!$B$3, IF(hazard_calcs!B21&lt;MIN(raw_hazard_data!$C$3:$C$27),raw_hazard_data!$B$27, LinearInterpolate(hazard_calcs!B21,raw_hazard_data!$C$3:$C$27,raw_hazard_data!$B$3:$B$27)))</f>
        <v>0.11118536721669581</v>
      </c>
      <c r="E21" s="30" cm="1">
        <f t="array" ref="E21">IF(B21&gt;MAX(raw_hazard_data!$F$3:$F$27),raw_hazard_data!$E$3, IF(hazard_calcs!B21&lt;MIN(raw_hazard_data!$F$3:$F$27),raw_hazard_data!$E$27, LinearInterpolate(hazard_calcs!B21,raw_hazard_data!$F$3:$F$27,raw_hazard_data!$E$3:$E$27)))</f>
        <v>0.11939547275077031</v>
      </c>
      <c r="F21" s="30" cm="1">
        <f t="array" ref="F21">IF(B21&gt;MAX(raw_hazard_data!$I$3:$I$27),raw_hazard_data!$H$3, IF(hazard_calcs!B21&lt;MIN(raw_hazard_data!$I$3:$I$27),raw_hazard_data!$H$27, LinearInterpolate(hazard_calcs!B21,raw_hazard_data!$I$3:$I$27,raw_hazard_data!$H$3:$H$27)))</f>
        <v>0.11063609155553744</v>
      </c>
      <c r="G21" s="30" cm="1">
        <f t="array" ref="G21">IF(B21&gt;MAX(raw_hazard_data!$L$3:$L$27),raw_hazard_data!$K$3, IF(hazard_calcs!B21&lt;MIN(raw_hazard_data!$L$3:$L$27),raw_hazard_data!$K$27, LinearInterpolate(hazard_calcs!B21,raw_hazard_data!$L$3:$L$27,raw_hazard_data!$K$3:$K$27)))</f>
        <v>1.7762433917808559E-2</v>
      </c>
      <c r="H21" s="30">
        <f t="shared" si="3"/>
        <v>0.11373897717433452</v>
      </c>
      <c r="I21" s="30">
        <f t="shared" si="4"/>
        <v>1.563603527304213</v>
      </c>
      <c r="J21" s="30">
        <f t="shared" si="5"/>
        <v>2.2877439205967121</v>
      </c>
      <c r="K21" s="7">
        <f t="shared" si="6"/>
        <v>0.22849353952506496</v>
      </c>
      <c r="L21" s="30">
        <f t="shared" si="7"/>
        <v>1.8184410499203458</v>
      </c>
      <c r="M21" s="30">
        <f t="shared" si="8"/>
        <v>1.8351561747889003</v>
      </c>
      <c r="N21" s="30">
        <f t="shared" si="9"/>
        <v>8.2070679948957337E-2</v>
      </c>
      <c r="O21" s="30">
        <f t="shared" si="0"/>
        <v>1.6022689439050771E-2</v>
      </c>
      <c r="P21" s="30">
        <f t="shared" si="1"/>
        <v>1.0308064836204653E-2</v>
      </c>
      <c r="Q21" s="2"/>
      <c r="R21" s="4"/>
      <c r="S21" t="s">
        <v>107</v>
      </c>
      <c r="T21" s="33">
        <f>(T18-T17)*(T19^2-T17^2) - (T19-T17)*(T18^2-T17^2)</f>
        <v>33.04197466284964</v>
      </c>
      <c r="AD21" s="2">
        <f>risk_based_force_calcs!$D$49*hazard_calcs!C21^(-risk_based_force_calcs!$D$46)</f>
        <v>6.6066157133643846E-2</v>
      </c>
    </row>
    <row r="22" spans="1:30" x14ac:dyDescent="0.25">
      <c r="A22" s="14">
        <v>0.248694</v>
      </c>
      <c r="B22" s="17">
        <f t="shared" si="2"/>
        <v>5.7188450696316791E-3</v>
      </c>
      <c r="C22" s="27">
        <v>6.5034490999999903E-2</v>
      </c>
      <c r="D22" s="30" cm="1">
        <f t="array" ref="D22">IF(B22&gt;MAX(raw_hazard_data!$C$3:$C$27),raw_hazard_data!$B$3, IF(hazard_calcs!B22&lt;MIN(raw_hazard_data!$C$3:$C$27),raw_hazard_data!$B$27, LinearInterpolate(hazard_calcs!B22,raw_hazard_data!$C$3:$C$27,raw_hazard_data!$B$3:$B$27)))</f>
        <v>0.17959703922944967</v>
      </c>
      <c r="E22" s="30" cm="1">
        <f t="array" ref="E22">IF(B22&gt;MAX(raw_hazard_data!$F$3:$F$27),raw_hazard_data!$E$3, IF(hazard_calcs!B22&lt;MIN(raw_hazard_data!$F$3:$F$27),raw_hazard_data!$E$27, LinearInterpolate(hazard_calcs!B22,raw_hazard_data!$F$3:$F$27,raw_hazard_data!$E$3:$E$27)))</f>
        <v>0.18571657156707347</v>
      </c>
      <c r="F22" s="30" cm="1">
        <f t="array" ref="F22">IF(B22&gt;MAX(raw_hazard_data!$I$3:$I$27),raw_hazard_data!$H$3, IF(hazard_calcs!B22&lt;MIN(raw_hazard_data!$I$3:$I$27),raw_hazard_data!$H$27, LinearInterpolate(hazard_calcs!B22,raw_hazard_data!$I$3:$I$27,raw_hazard_data!$H$3:$H$27)))</f>
        <v>0.1695653591028484</v>
      </c>
      <c r="G22" s="30" cm="1">
        <f t="array" ref="G22">IF(B22&gt;MAX(raw_hazard_data!$L$3:$L$27),raw_hazard_data!$K$3, IF(hazard_calcs!B22&lt;MIN(raw_hazard_data!$L$3:$L$27),raw_hazard_data!$K$27, LinearInterpolate(hazard_calcs!B22,raw_hazard_data!$L$3:$L$27,raw_hazard_data!$K$3:$K$27)))</f>
        <v>2.5401356370580601E-2</v>
      </c>
      <c r="H22" s="30">
        <f t="shared" si="3"/>
        <v>0.17829298996645718</v>
      </c>
      <c r="I22" s="30">
        <f t="shared" si="4"/>
        <v>1.5429462432107339</v>
      </c>
      <c r="J22" s="30">
        <f t="shared" si="5"/>
        <v>2.2824730641042992</v>
      </c>
      <c r="K22" s="7">
        <f t="shared" si="6"/>
        <v>0.21075481478596728</v>
      </c>
      <c r="L22" s="30">
        <f t="shared" si="7"/>
        <v>1.8139704778686825</v>
      </c>
      <c r="M22" s="30">
        <f t="shared" si="8"/>
        <v>1.8202688010458208</v>
      </c>
      <c r="N22" s="30">
        <f t="shared" si="9"/>
        <v>0.11838025495919505</v>
      </c>
      <c r="O22" s="30">
        <f t="shared" si="0"/>
        <v>8.2681179720617663E-3</v>
      </c>
      <c r="P22" s="30">
        <f t="shared" si="1"/>
        <v>6.4239525347841477E-3</v>
      </c>
      <c r="Q22" s="2"/>
      <c r="R22" s="4"/>
      <c r="S22" t="s">
        <v>108</v>
      </c>
      <c r="T22" s="33">
        <f>(S18-S17)*(T19^2-T17^2) - (S19-S17)*(T18^2-T17^2)</f>
        <v>-71.625277834464669</v>
      </c>
      <c r="U22" t="s">
        <v>109</v>
      </c>
      <c r="AD22" s="2">
        <f>risk_based_force_calcs!$D$49*hazard_calcs!C22^(-risk_based_force_calcs!$D$46)</f>
        <v>2.1482895502817709E-2</v>
      </c>
    </row>
    <row r="23" spans="1:30" x14ac:dyDescent="0.25">
      <c r="A23" s="14">
        <v>0.16441</v>
      </c>
      <c r="B23" s="17">
        <f t="shared" si="2"/>
        <v>3.5923443363975343E-3</v>
      </c>
      <c r="C23" s="27">
        <v>9.4574161000000004E-2</v>
      </c>
      <c r="D23" s="30" cm="1">
        <f t="array" ref="D23">IF(B23&gt;MAX(raw_hazard_data!$C$3:$C$27),raw_hazard_data!$B$3, IF(hazard_calcs!B23&lt;MIN(raw_hazard_data!$C$3:$C$27),raw_hazard_data!$B$27, LinearInterpolate(hazard_calcs!B23,raw_hazard_data!$C$3:$C$27,raw_hazard_data!$B$3:$B$27)))</f>
        <v>0.27679541596616286</v>
      </c>
      <c r="E23" s="30" cm="1">
        <f t="array" ref="E23">IF(B23&gt;MAX(raw_hazard_data!$F$3:$F$27),raw_hazard_data!$E$3, IF(hazard_calcs!B23&lt;MIN(raw_hazard_data!$F$3:$F$27),raw_hazard_data!$E$27, LinearInterpolate(hazard_calcs!B23,raw_hazard_data!$F$3:$F$27,raw_hazard_data!$E$3:$E$27)))</f>
        <v>0.28002555157971232</v>
      </c>
      <c r="F23" s="30" cm="1">
        <f t="array" ref="F23">IF(B23&gt;MAX(raw_hazard_data!$I$3:$I$27),raw_hazard_data!$H$3, IF(hazard_calcs!B23&lt;MIN(raw_hazard_data!$I$3:$I$27),raw_hazard_data!$H$27, LinearInterpolate(hazard_calcs!B23,raw_hazard_data!$I$3:$I$27,raw_hazard_data!$H$3:$H$27)))</f>
        <v>0.25266945069097135</v>
      </c>
      <c r="G23" s="30" cm="1">
        <f t="array" ref="G23">IF(B23&gt;MAX(raw_hazard_data!$L$3:$L$27),raw_hazard_data!$K$3, IF(hazard_calcs!B23&lt;MIN(raw_hazard_data!$L$3:$L$27),raw_hazard_data!$K$27, LinearInterpolate(hazard_calcs!B23,raw_hazard_data!$L$3:$L$27,raw_hazard_data!$K$3:$K$27)))</f>
        <v>3.6477865390004229E-2</v>
      </c>
      <c r="H23" s="30">
        <f t="shared" si="3"/>
        <v>0.26983013941228218</v>
      </c>
      <c r="I23" s="30">
        <f t="shared" si="4"/>
        <v>1.5136543553880699</v>
      </c>
      <c r="J23" s="30">
        <f t="shared" si="5"/>
        <v>2.2748302728808971</v>
      </c>
      <c r="K23" s="7">
        <f t="shared" si="6"/>
        <v>0.2031707776337075</v>
      </c>
      <c r="L23" s="30">
        <f t="shared" si="7"/>
        <v>1.7972022591689929</v>
      </c>
      <c r="M23" s="30">
        <f t="shared" si="8"/>
        <v>1.79909532444788</v>
      </c>
      <c r="N23" s="30">
        <f t="shared" si="9"/>
        <v>0.17014793086868105</v>
      </c>
      <c r="O23" s="30">
        <f t="shared" si="0"/>
        <v>4.2665604137559635E-3</v>
      </c>
      <c r="P23" s="30">
        <f t="shared" si="1"/>
        <v>3.8331544651400498E-3</v>
      </c>
      <c r="Q23" s="2"/>
      <c r="R23" s="4"/>
      <c r="S23" t="s">
        <v>110</v>
      </c>
      <c r="T23" s="33">
        <f>(T18-T17)*(S19-S17) - (T19-T17)*(S18-S17)</f>
        <v>-5.1194651245215255</v>
      </c>
      <c r="U23" t="s">
        <v>109</v>
      </c>
      <c r="AD23" s="2">
        <f>risk_based_force_calcs!$D$49*hazard_calcs!C23^(-risk_based_force_calcs!$D$46)</f>
        <v>6.9856457926945762E-3</v>
      </c>
    </row>
    <row r="24" spans="1:30" x14ac:dyDescent="0.25">
      <c r="A24" s="14">
        <v>0.102286</v>
      </c>
      <c r="B24" s="17">
        <f t="shared" si="2"/>
        <v>2.1580749386121588E-3</v>
      </c>
      <c r="C24" s="27">
        <v>0.13753120399999899</v>
      </c>
      <c r="D24" s="30" cm="1">
        <f t="array" ref="D24">IF(B24&gt;MAX(raw_hazard_data!$C$3:$C$27),raw_hazard_data!$B$3, IF(hazard_calcs!B24&lt;MIN(raw_hazard_data!$C$3:$C$27),raw_hazard_data!$B$27, LinearInterpolate(hazard_calcs!B24,raw_hazard_data!$C$3:$C$27,raw_hazard_data!$B$3:$B$27)))</f>
        <v>0.41202697959280671</v>
      </c>
      <c r="E24" s="30" cm="1">
        <f t="array" ref="E24">IF(B24&gt;MAX(raw_hazard_data!$F$3:$F$27),raw_hazard_data!$E$3, IF(hazard_calcs!B24&lt;MIN(raw_hazard_data!$F$3:$F$27),raw_hazard_data!$E$27, LinearInterpolate(hazard_calcs!B24,raw_hazard_data!$F$3:$F$27,raw_hazard_data!$E$3:$E$27)))</f>
        <v>0.41132469644269076</v>
      </c>
      <c r="F24" s="30" cm="1">
        <f t="array" ref="F24">IF(B24&gt;MAX(raw_hazard_data!$I$3:$I$27),raw_hazard_data!$H$3, IF(hazard_calcs!B24&lt;MIN(raw_hazard_data!$I$3:$I$27),raw_hazard_data!$H$27, LinearInterpolate(hazard_calcs!B24,raw_hazard_data!$I$3:$I$27,raw_hazard_data!$H$3:$H$27)))</f>
        <v>0.36633247758007703</v>
      </c>
      <c r="G24" s="30" cm="1">
        <f t="array" ref="G24">IF(B24&gt;MAX(raw_hazard_data!$L$3:$L$27),raw_hazard_data!$K$3, IF(hazard_calcs!B24&lt;MIN(raw_hazard_data!$L$3:$L$27),raw_hazard_data!$K$27, LinearInterpolate(hazard_calcs!B24,raw_hazard_data!$L$3:$L$27,raw_hazard_data!$K$3:$K$27)))</f>
        <v>5.2816866096286705E-2</v>
      </c>
      <c r="H24" s="30">
        <f t="shared" si="3"/>
        <v>0.39656138453852491</v>
      </c>
      <c r="I24" s="30">
        <f t="shared" si="4"/>
        <v>1.4731003569476719</v>
      </c>
      <c r="J24" s="30">
        <f t="shared" si="5"/>
        <v>2.2635563623935622</v>
      </c>
      <c r="K24" s="7">
        <f t="shared" si="6"/>
        <v>0.20465444633463797</v>
      </c>
      <c r="L24" s="30">
        <f t="shared" si="7"/>
        <v>1.7666302138766932</v>
      </c>
      <c r="M24" s="30">
        <f t="shared" si="8"/>
        <v>1.7695213589898806</v>
      </c>
      <c r="N24" s="30">
        <f t="shared" si="9"/>
        <v>0.24336440300559273</v>
      </c>
      <c r="O24" s="30">
        <f t="shared" si="0"/>
        <v>2.2016543684729786E-3</v>
      </c>
      <c r="P24" s="30">
        <f t="shared" si="1"/>
        <v>2.1899749580102956E-3</v>
      </c>
      <c r="Q24" s="2"/>
      <c r="R24" s="4"/>
      <c r="T24" s="15"/>
      <c r="AD24" s="2">
        <f>risk_based_force_calcs!$D$49*hazard_calcs!C24^(-risk_based_force_calcs!$D$46)</f>
        <v>2.2715396276818049E-3</v>
      </c>
    </row>
    <row r="25" spans="1:30" x14ac:dyDescent="0.25">
      <c r="A25" s="14">
        <v>5.9333999999999998E-2</v>
      </c>
      <c r="B25" s="17">
        <f t="shared" si="2"/>
        <v>1.223342879099208E-3</v>
      </c>
      <c r="C25" s="27">
        <v>0.2</v>
      </c>
      <c r="D25" s="30" cm="1">
        <f t="array" ref="D25">IF(B25&gt;MAX(raw_hazard_data!$C$3:$C$27),raw_hazard_data!$B$3, IF(hazard_calcs!B25&lt;MIN(raw_hazard_data!$C$3:$C$27),raw_hazard_data!$B$27, LinearInterpolate(hazard_calcs!B25,raw_hazard_data!$C$3:$C$27,raw_hazard_data!$B$3:$B$27)))</f>
        <v>0.60006488482404219</v>
      </c>
      <c r="E25" s="30" cm="1">
        <f t="array" ref="E25">IF(B25&gt;MAX(raw_hazard_data!$F$3:$F$27),raw_hazard_data!$E$3, IF(hazard_calcs!B25&lt;MIN(raw_hazard_data!$F$3:$F$27),raw_hazard_data!$E$27, LinearInterpolate(hazard_calcs!B25,raw_hazard_data!$F$3:$F$27,raw_hazard_data!$E$3:$E$27)))</f>
        <v>0.59346993716056584</v>
      </c>
      <c r="F25" s="30" cm="1">
        <f t="array" ref="F25">IF(B25&gt;MAX(raw_hazard_data!$I$3:$I$27),raw_hazard_data!$H$3, IF(hazard_calcs!B25&lt;MIN(raw_hazard_data!$I$3:$I$27),raw_hazard_data!$H$27, LinearInterpolate(hazard_calcs!B25,raw_hazard_data!$I$3:$I$27,raw_hazard_data!$H$3:$H$27)))</f>
        <v>0.51928197648933616</v>
      </c>
      <c r="G25" s="30" cm="1">
        <f t="array" ref="G25">IF(B25&gt;MAX(raw_hazard_data!$L$3:$L$27),raw_hazard_data!$K$3, IF(hazard_calcs!B25&lt;MIN(raw_hazard_data!$L$3:$L$27),raw_hazard_data!$K$27, LinearInterpolate(hazard_calcs!B25,raw_hazard_data!$L$3:$L$27,raw_hazard_data!$K$3:$K$27)))</f>
        <v>7.7234793196702733E-2</v>
      </c>
      <c r="H25" s="30">
        <f t="shared" si="3"/>
        <v>0.57093893282464803</v>
      </c>
      <c r="I25" s="30">
        <f t="shared" si="4"/>
        <v>1.4172995414961127</v>
      </c>
      <c r="J25" s="30">
        <f t="shared" si="5"/>
        <v>2.246707992694275</v>
      </c>
      <c r="K25" s="7">
        <f t="shared" si="6"/>
        <v>0.21444124144112536</v>
      </c>
      <c r="L25" s="30">
        <f t="shared" si="7"/>
        <v>1.7187981182504264</v>
      </c>
      <c r="M25" s="30">
        <f t="shared" si="8"/>
        <v>1.7283277106954236</v>
      </c>
      <c r="N25" s="30">
        <f t="shared" si="9"/>
        <v>0.34566554213908474</v>
      </c>
      <c r="O25" s="30">
        <f t="shared" si="0"/>
        <v>1.1361099881295926E-3</v>
      </c>
      <c r="P25" s="30">
        <f t="shared" si="1"/>
        <v>1.1979833950896547E-3</v>
      </c>
      <c r="Q25" s="2"/>
      <c r="R25" s="4"/>
      <c r="S25" t="s">
        <v>111</v>
      </c>
      <c r="T25" s="33">
        <f>S17-T26*T17-T27*T17^2</f>
        <v>-9.8145684129969766</v>
      </c>
      <c r="U25" t="s">
        <v>112</v>
      </c>
      <c r="AD25" s="2">
        <f>risk_based_force_calcs!$D$49*hazard_calcs!C25^(-risk_based_force_calcs!$D$46)</f>
        <v>7.3864211411258805E-4</v>
      </c>
    </row>
    <row r="26" spans="1:30" x14ac:dyDescent="0.25">
      <c r="A26" s="14">
        <v>3.1546999999999999E-2</v>
      </c>
      <c r="B26" s="17">
        <f t="shared" si="2"/>
        <v>6.4110651930390252E-4</v>
      </c>
      <c r="C26" s="27">
        <v>0.290843087</v>
      </c>
      <c r="D26" s="30" cm="1">
        <f t="array" ref="D26">IF(B26&gt;MAX(raw_hazard_data!$C$3:$C$27),raw_hazard_data!$B$3, IF(hazard_calcs!B26&lt;MIN(raw_hazard_data!$C$3:$C$27),raw_hazard_data!$B$27, LinearInterpolate(hazard_calcs!B26,raw_hazard_data!$C$3:$C$27,raw_hazard_data!$B$3:$B$27)))</f>
        <v>0.86470277346017121</v>
      </c>
      <c r="E26" s="30" cm="1">
        <f t="array" ref="E26">IF(B26&gt;MAX(raw_hazard_data!$F$3:$F$27),raw_hazard_data!$E$3, IF(hazard_calcs!B26&lt;MIN(raw_hazard_data!$F$3:$F$27),raw_hazard_data!$E$27, LinearInterpolate(hazard_calcs!B26,raw_hazard_data!$F$3:$F$27,raw_hazard_data!$E$3:$E$27)))</f>
        <v>0.84829706332976595</v>
      </c>
      <c r="F26" s="30" cm="1">
        <f t="array" ref="F26">IF(B26&gt;MAX(raw_hazard_data!$I$3:$I$27),raw_hazard_data!$H$3, IF(hazard_calcs!B26&lt;MIN(raw_hazard_data!$I$3:$I$27),raw_hazard_data!$H$27, LinearInterpolate(hazard_calcs!B26,raw_hazard_data!$I$3:$I$27,raw_hazard_data!$H$3:$H$27)))</f>
        <v>0.7300432454303839</v>
      </c>
      <c r="G26" s="30" cm="1">
        <f t="array" ref="G26">IF(B26&gt;MAX(raw_hazard_data!$L$3:$L$27),raw_hazard_data!$K$3, IF(hazard_calcs!B26&lt;MIN(raw_hazard_data!$L$3:$L$27),raw_hazard_data!$K$27, LinearInterpolate(hazard_calcs!B26,raw_hazard_data!$L$3:$L$27,raw_hazard_data!$K$3:$K$27)))</f>
        <v>0.11373028805245365</v>
      </c>
      <c r="H26" s="30">
        <f t="shared" si="3"/>
        <v>0.81434769407344032</v>
      </c>
      <c r="I26" s="30">
        <f t="shared" si="4"/>
        <v>1.3394087378964992</v>
      </c>
      <c r="J26" s="30">
        <f t="shared" si="5"/>
        <v>2.2215261012438066</v>
      </c>
      <c r="K26" s="7">
        <f t="shared" si="6"/>
        <v>0.2316352020171672</v>
      </c>
      <c r="L26" s="30">
        <f t="shared" si="7"/>
        <v>1.6475036019940321</v>
      </c>
      <c r="M26" s="30">
        <f t="shared" si="8"/>
        <v>1.6702027491517395</v>
      </c>
      <c r="N26" s="30">
        <f t="shared" si="9"/>
        <v>0.48576692347917855</v>
      </c>
      <c r="O26" s="30">
        <f t="shared" si="0"/>
        <v>5.8626182546683489E-4</v>
      </c>
      <c r="P26" s="30">
        <f t="shared" si="1"/>
        <v>6.274675559833911E-4</v>
      </c>
      <c r="Q26" s="2"/>
      <c r="R26" s="4"/>
      <c r="S26" t="s">
        <v>113</v>
      </c>
      <c r="T26" s="33">
        <f>T22/T21</f>
        <v>-2.16770573082594</v>
      </c>
      <c r="U26" t="s">
        <v>114</v>
      </c>
      <c r="AD26" s="2">
        <f>risk_based_force_calcs!$D$49*hazard_calcs!C26^(-risk_based_force_calcs!$D$46)</f>
        <v>2.4018606981302866E-4</v>
      </c>
    </row>
    <row r="27" spans="1:30" x14ac:dyDescent="0.25">
      <c r="A27" s="14">
        <v>1.5029000000000001E-2</v>
      </c>
      <c r="B27" s="17">
        <f t="shared" si="2"/>
        <v>3.0286159735653481E-4</v>
      </c>
      <c r="C27" s="27">
        <v>0.42294850499999898</v>
      </c>
      <c r="D27" s="30" cm="1">
        <f t="array" ref="D27">IF(B27&gt;MAX(raw_hazard_data!$C$3:$C$27),raw_hazard_data!$B$3, IF(hazard_calcs!B27&lt;MIN(raw_hazard_data!$C$3:$C$27),raw_hazard_data!$B$27, LinearInterpolate(hazard_calcs!B27,raw_hazard_data!$C$3:$C$27,raw_hazard_data!$B$3:$B$27)))</f>
        <v>1.2432872880736825</v>
      </c>
      <c r="E27" s="30" cm="1">
        <f t="array" ref="E27">IF(B27&gt;MAX(raw_hazard_data!$F$3:$F$27),raw_hazard_data!$E$3, IF(hazard_calcs!B27&lt;MIN(raw_hazard_data!$F$3:$F$27),raw_hazard_data!$E$27, LinearInterpolate(hazard_calcs!B27,raw_hazard_data!$F$3:$F$27,raw_hazard_data!$E$3:$E$27)))</f>
        <v>1.2096036813599884</v>
      </c>
      <c r="F27" s="30" cm="1">
        <f t="array" ref="F27">IF(B27&gt;MAX(raw_hazard_data!$I$3:$I$27),raw_hazard_data!$H$3, IF(hazard_calcs!B27&lt;MIN(raw_hazard_data!$I$3:$I$27),raw_hazard_data!$H$27, LinearInterpolate(hazard_calcs!B27,raw_hazard_data!$I$3:$I$27,raw_hazard_data!$H$3:$H$27)))</f>
        <v>1.0500202291196372</v>
      </c>
      <c r="G27" s="30" cm="1">
        <f t="array" ref="G27">IF(B27&gt;MAX(raw_hazard_data!$L$3:$L$27),raw_hazard_data!$K$3, IF(hazard_calcs!B27&lt;MIN(raw_hazard_data!$L$3:$L$27),raw_hazard_data!$K$27, LinearInterpolate(hazard_calcs!B27,raw_hazard_data!$L$3:$L$27,raw_hazard_data!$K$3:$K$27)))</f>
        <v>0.17132896556280247</v>
      </c>
      <c r="H27" s="30">
        <f t="shared" si="3"/>
        <v>1.167637066184436</v>
      </c>
      <c r="I27" s="30">
        <f t="shared" si="4"/>
        <v>1.2263561388209805</v>
      </c>
      <c r="J27" s="30">
        <f t="shared" si="5"/>
        <v>2.1817830137616663</v>
      </c>
      <c r="K27" s="7">
        <f t="shared" si="6"/>
        <v>0.26104649506982425</v>
      </c>
      <c r="L27" s="30">
        <f t="shared" si="7"/>
        <v>1.5353100837557623</v>
      </c>
      <c r="M27" s="30">
        <f t="shared" si="8"/>
        <v>1.5846412169237376</v>
      </c>
      <c r="N27" s="30">
        <f t="shared" si="9"/>
        <v>0.6702216336592739</v>
      </c>
      <c r="O27" s="30">
        <f t="shared" si="0"/>
        <v>3.0252610524187002E-4</v>
      </c>
      <c r="P27" s="30">
        <f t="shared" si="1"/>
        <v>3.1467379634428415E-4</v>
      </c>
      <c r="Q27" s="2"/>
      <c r="R27" s="4"/>
      <c r="S27" t="s">
        <v>115</v>
      </c>
      <c r="T27" s="33">
        <f>T23/T21</f>
        <v>-0.15493823165107432</v>
      </c>
      <c r="U27" t="s">
        <v>116</v>
      </c>
      <c r="AD27" s="2">
        <f>risk_based_force_calcs!$D$49*hazard_calcs!C27^(-risk_based_force_calcs!$D$46)</f>
        <v>7.8101894751386321E-5</v>
      </c>
    </row>
    <row r="28" spans="1:30" x14ac:dyDescent="0.25">
      <c r="A28" s="14">
        <v>6.2389999999999998E-3</v>
      </c>
      <c r="B28" s="17">
        <f t="shared" si="2"/>
        <v>1.2517087784936801E-4</v>
      </c>
      <c r="C28" s="27">
        <v>0.61505824399999898</v>
      </c>
      <c r="D28" s="30" cm="1">
        <f t="array" ref="D28">IF(B28&gt;MAX(raw_hazard_data!$C$3:$C$27),raw_hazard_data!$B$3, IF(hazard_calcs!B28&lt;MIN(raw_hazard_data!$C$3:$C$27),raw_hazard_data!$B$27, LinearInterpolate(hazard_calcs!B28,raw_hazard_data!$C$3:$C$27,raw_hazard_data!$B$3:$B$27)))</f>
        <v>1.7978878753071676</v>
      </c>
      <c r="E28" s="30" cm="1">
        <f t="array" ref="E28">IF(B28&gt;MAX(raw_hazard_data!$F$3:$F$27),raw_hazard_data!$E$3, IF(hazard_calcs!B28&lt;MIN(raw_hazard_data!$F$3:$F$27),raw_hazard_data!$E$27, LinearInterpolate(hazard_calcs!B28,raw_hazard_data!$F$3:$F$27,raw_hazard_data!$E$3:$E$27)))</f>
        <v>1.7326527483032428</v>
      </c>
      <c r="F28" s="30" cm="1">
        <f t="array" ref="F28">IF(B28&gt;MAX(raw_hazard_data!$I$3:$I$27),raw_hazard_data!$H$3, IF(hazard_calcs!B28&lt;MIN(raw_hazard_data!$I$3:$I$27),raw_hazard_data!$H$27, LinearInterpolate(hazard_calcs!B28,raw_hazard_data!$I$3:$I$27,raw_hazard_data!$H$3:$H$27)))</f>
        <v>1.516484908092844</v>
      </c>
      <c r="G28" s="30" cm="1">
        <f t="array" ref="G28">IF(B28&gt;MAX(raw_hazard_data!$L$3:$L$27),raw_hazard_data!$K$3, IF(hazard_calcs!B28&lt;MIN(raw_hazard_data!$L$3:$L$27),raw_hazard_data!$K$27, LinearInterpolate(hazard_calcs!B28,raw_hazard_data!$L$3:$L$27,raw_hazard_data!$K$3:$K$27)))</f>
        <v>0.26100611890770015</v>
      </c>
      <c r="H28" s="30">
        <f t="shared" si="3"/>
        <v>1.6823418439010849</v>
      </c>
      <c r="I28" s="30">
        <f t="shared" si="4"/>
        <v>1.0616506099516527</v>
      </c>
      <c r="J28" s="30">
        <f t="shared" si="5"/>
        <v>2.1199057779536865</v>
      </c>
      <c r="K28" s="7">
        <f t="shared" si="6"/>
        <v>0.30979284768292398</v>
      </c>
      <c r="L28" s="30">
        <f t="shared" si="7"/>
        <v>1.3532843625935345</v>
      </c>
      <c r="M28" s="30">
        <f t="shared" si="8"/>
        <v>1.4584962979524154</v>
      </c>
      <c r="N28" s="30">
        <f t="shared" si="9"/>
        <v>0.89706017189911191</v>
      </c>
      <c r="O28" s="30">
        <f t="shared" si="0"/>
        <v>1.5611121163960993E-4</v>
      </c>
      <c r="P28" s="30">
        <f t="shared" si="1"/>
        <v>1.5109799723396424E-4</v>
      </c>
      <c r="Q28" s="2"/>
      <c r="R28" s="4"/>
      <c r="T28" s="15"/>
      <c r="AD28" s="2">
        <f>risk_based_force_calcs!$D$49*hazard_calcs!C28^(-risk_based_force_calcs!$D$46)</f>
        <v>2.5396584900118657E-5</v>
      </c>
    </row>
    <row r="29" spans="1:30" x14ac:dyDescent="0.25">
      <c r="A29" s="14">
        <v>2.1819999999999999E-3</v>
      </c>
      <c r="B29" s="17">
        <f t="shared" si="2"/>
        <v>4.3687680612023856E-5</v>
      </c>
      <c r="C29" s="27">
        <v>0.89442719100000001</v>
      </c>
      <c r="D29" s="30" cm="1">
        <f t="array" ref="D29">IF(B29&gt;MAX(raw_hazard_data!$C$3:$C$27),raw_hazard_data!$B$3, IF(hazard_calcs!B29&lt;MIN(raw_hazard_data!$C$3:$C$27),raw_hazard_data!$B$27, LinearInterpolate(hazard_calcs!B29,raw_hazard_data!$C$3:$C$27,raw_hazard_data!$B$3:$B$27)))</f>
        <v>2.6346710292538762</v>
      </c>
      <c r="E29" s="30" cm="1">
        <f t="array" ref="E29">IF(B29&gt;MAX(raw_hazard_data!$F$3:$F$27),raw_hazard_data!$E$3, IF(hazard_calcs!B29&lt;MIN(raw_hazard_data!$F$3:$F$27),raw_hazard_data!$E$27, LinearInterpolate(hazard_calcs!B29,raw_hazard_data!$F$3:$F$27,raw_hazard_data!$E$3:$E$27)))</f>
        <v>2.5106497090967337</v>
      </c>
      <c r="F29" s="30" cm="1">
        <f t="array" ref="F29">IF(B29&gt;MAX(raw_hazard_data!$I$3:$I$27),raw_hazard_data!$H$3, IF(hazard_calcs!B29&lt;MIN(raw_hazard_data!$I$3:$I$27),raw_hazard_data!$H$27, LinearInterpolate(hazard_calcs!B29,raw_hazard_data!$I$3:$I$27,raw_hazard_data!$H$3:$H$27)))</f>
        <v>2.2037496065663298</v>
      </c>
      <c r="G29" s="30" cm="1">
        <f t="array" ref="G29">IF(B29&gt;MAX(raw_hazard_data!$L$3:$L$27),raw_hazard_data!$K$3, IF(hazard_calcs!B29&lt;MIN(raw_hazard_data!$L$3:$L$27),raw_hazard_data!$K$27, LinearInterpolate(hazard_calcs!B29,raw_hazard_data!$L$3:$L$27,raw_hazard_data!$K$3:$K$27)))</f>
        <v>0.39563774848955335</v>
      </c>
      <c r="H29" s="30">
        <f t="shared" si="3"/>
        <v>2.4496901149723134</v>
      </c>
      <c r="I29" s="30">
        <f t="shared" si="4"/>
        <v>0.81609916320885967</v>
      </c>
      <c r="J29" s="30">
        <f t="shared" si="5"/>
        <v>2.0270099535422079</v>
      </c>
      <c r="K29" s="7">
        <f t="shared" si="6"/>
        <v>0.40114327950062206</v>
      </c>
      <c r="L29" s="30">
        <f t="shared" si="7"/>
        <v>1.0159911665078174</v>
      </c>
      <c r="M29" s="30">
        <f t="shared" si="8"/>
        <v>1.2701907095838654</v>
      </c>
      <c r="N29" s="30">
        <f t="shared" si="9"/>
        <v>1.1360931084073935</v>
      </c>
      <c r="O29" s="30">
        <f t="shared" si="0"/>
        <v>8.0557380026032135E-5</v>
      </c>
      <c r="P29" s="30">
        <f t="shared" si="1"/>
        <v>6.946813865875194E-5</v>
      </c>
      <c r="Q29" s="2"/>
      <c r="R29" s="4"/>
      <c r="S29" t="s">
        <v>85</v>
      </c>
      <c r="T29" s="44">
        <f>EXP(T25)</f>
        <v>5.4649613644706288E-5</v>
      </c>
      <c r="AD29" s="2">
        <f>risk_based_force_calcs!$D$49*hazard_calcs!C29^(-risk_based_force_calcs!$D$46)</f>
        <v>8.2582698909971899E-6</v>
      </c>
    </row>
    <row r="30" spans="1:30" x14ac:dyDescent="0.25">
      <c r="A30" s="14">
        <v>6.1600000000000001E-4</v>
      </c>
      <c r="B30" s="17">
        <f t="shared" si="2"/>
        <v>1.2323796119018593E-5</v>
      </c>
      <c r="C30" s="27">
        <v>1.3006898250000001</v>
      </c>
      <c r="D30" s="30" cm="1">
        <f t="array" ref="D30">IF(B30&gt;MAX(raw_hazard_data!$C$3:$C$27),raw_hazard_data!$B$3, IF(hazard_calcs!B30&lt;MIN(raw_hazard_data!$C$3:$C$27),raw_hazard_data!$B$27, LinearInterpolate(hazard_calcs!B30,raw_hazard_data!$C$3:$C$27,raw_hazard_data!$B$3:$B$27)))</f>
        <v>3.926482828549207</v>
      </c>
      <c r="E30" s="30" cm="1">
        <f t="array" ref="E30">IF(B30&gt;MAX(raw_hazard_data!$F$3:$F$27),raw_hazard_data!$E$3, IF(hazard_calcs!B30&lt;MIN(raw_hazard_data!$F$3:$F$27),raw_hazard_data!$E$27, LinearInterpolate(hazard_calcs!B30,raw_hazard_data!$F$3:$F$27,raw_hazard_data!$E$3:$E$27)))</f>
        <v>3.7009850496451113</v>
      </c>
      <c r="F30" s="30" cm="1">
        <f t="array" ref="F30">IF(B30&gt;MAX(raw_hazard_data!$I$3:$I$27),raw_hazard_data!$H$3, IF(hazard_calcs!B30&lt;MIN(raw_hazard_data!$I$3:$I$27),raw_hazard_data!$H$27, LinearInterpolate(hazard_calcs!B30,raw_hazard_data!$I$3:$I$27,raw_hazard_data!$H$3:$H$27)))</f>
        <v>3.2230726615246068</v>
      </c>
      <c r="G30" s="30" cm="1">
        <f t="array" ref="G30">IF(B30&gt;MAX(raw_hazard_data!$L$3:$L$27),raw_hazard_data!$K$3, IF(hazard_calcs!B30&lt;MIN(raw_hazard_data!$L$3:$L$27),raw_hazard_data!$K$27, LinearInterpolate(hazard_calcs!B30,raw_hazard_data!$L$3:$L$27,raw_hazard_data!$K$3:$K$27)))</f>
        <v>0.59649362881667534</v>
      </c>
      <c r="H30" s="30">
        <f t="shared" si="3"/>
        <v>3.6168468465729746</v>
      </c>
      <c r="I30" s="30">
        <f t="shared" si="4"/>
        <v>0.44260900909664813</v>
      </c>
      <c r="J30" s="30">
        <f t="shared" si="5"/>
        <v>1.8884193961164939</v>
      </c>
      <c r="K30" s="7">
        <f t="shared" si="6"/>
        <v>0.70364546509410797</v>
      </c>
      <c r="L30" s="30">
        <f>IF($B$6&lt;K30,I30,I30+($B$6-K30)*(J30-I30)/(1-K30))</f>
        <v>0.44260900909664813</v>
      </c>
      <c r="M30" s="30">
        <f t="shared" si="8"/>
        <v>0.98478790422909024</v>
      </c>
      <c r="N30" s="30">
        <f t="shared" si="9"/>
        <v>1.2809036068138522</v>
      </c>
      <c r="O30" s="30">
        <f t="shared" si="0"/>
        <v>4.1569669545449453E-5</v>
      </c>
      <c r="P30" s="30">
        <f t="shared" si="1"/>
        <v>3.0580278978545332E-5</v>
      </c>
      <c r="Q30" s="2"/>
      <c r="R30" s="4"/>
      <c r="S30" t="s">
        <v>102</v>
      </c>
      <c r="T30" s="33">
        <f>-T26</f>
        <v>2.16770573082594</v>
      </c>
      <c r="AD30" s="2">
        <f>risk_based_force_calcs!$D$49*hazard_calcs!C30^(-risk_based_force_calcs!$D$46)</f>
        <v>2.6853619068836881E-6</v>
      </c>
    </row>
    <row r="31" spans="1:30" ht="15.75" thickBot="1" x14ac:dyDescent="0.3">
      <c r="A31" s="14">
        <v>1.2799999999999999E-4</v>
      </c>
      <c r="B31" s="17">
        <f t="shared" si="2"/>
        <v>2.5601638539826951E-6</v>
      </c>
      <c r="C31" s="27">
        <v>1.8914832180000001</v>
      </c>
      <c r="D31" s="30" cm="1">
        <f t="array" ref="D31">IF(B31&gt;MAX(raw_hazard_data!$C$3:$C$27),raw_hazard_data!$B$3, IF(hazard_calcs!B31&lt;MIN(raw_hazard_data!$C$3:$C$27),raw_hazard_data!$B$27, LinearInterpolate(hazard_calcs!B31,raw_hazard_data!$C$3:$C$27,raw_hazard_data!$B$3:$B$27)))</f>
        <v>5</v>
      </c>
      <c r="E31" s="30" cm="1">
        <f t="array" ref="E31">IF(B31&gt;MAX(raw_hazard_data!$F$3:$F$27),raw_hazard_data!$E$3, IF(hazard_calcs!B31&lt;MIN(raw_hazard_data!$F$3:$F$27),raw_hazard_data!$E$27, LinearInterpolate(hazard_calcs!B31,raw_hazard_data!$F$3:$F$27,raw_hazard_data!$E$3:$E$27)))</f>
        <v>5</v>
      </c>
      <c r="F31" s="30" cm="1">
        <f t="array" ref="F31">IF(B31&gt;MAX(raw_hazard_data!$I$3:$I$27),raw_hazard_data!$H$3, IF(hazard_calcs!B31&lt;MIN(raw_hazard_data!$I$3:$I$27),raw_hazard_data!$H$27, LinearInterpolate(hazard_calcs!B31,raw_hazard_data!$I$3:$I$27,raw_hazard_data!$H$3:$H$27)))</f>
        <v>4.7526795974846712</v>
      </c>
      <c r="G31" s="30" cm="1">
        <f t="array" ref="G31">IF(B31&gt;MAX(raw_hazard_data!$L$3:$L$27),raw_hazard_data!$K$3, IF(hazard_calcs!B31&lt;MIN(raw_hazard_data!$L$3:$L$27),raw_hazard_data!$K$27, LinearInterpolate(hazard_calcs!B31,raw_hazard_data!$L$3:$L$27,raw_hazard_data!$K$3:$K$27)))</f>
        <v>0.89758206675045171</v>
      </c>
      <c r="H31" s="30">
        <f t="shared" si="3"/>
        <v>4.917559865828224</v>
      </c>
      <c r="I31" s="30">
        <f t="shared" si="4"/>
        <v>2.6380842934968209E-2</v>
      </c>
      <c r="J31" s="30">
        <f t="shared" si="5"/>
        <v>1.6806683739421884</v>
      </c>
      <c r="K31" s="7">
        <f>(J31*G31)/(I31*H31)</f>
        <v>11.628343997446933</v>
      </c>
      <c r="L31" s="30">
        <f t="shared" ref="L31:L33" si="11">IF($B$6&lt;K31,I31,I31+($B$6-K31)*(J31-I31)/(1-K31))</f>
        <v>2.6380842934968209E-2</v>
      </c>
      <c r="M31" s="30">
        <f t="shared" si="8"/>
        <v>0.6467386670626758</v>
      </c>
      <c r="N31" s="30">
        <f t="shared" si="9"/>
        <v>1.2232953351807407</v>
      </c>
      <c r="O31" s="30">
        <f t="shared" si="0"/>
        <v>2.1451013233088729E-5</v>
      </c>
      <c r="P31" s="30">
        <f t="shared" si="1"/>
        <v>1.2889202566460531E-5</v>
      </c>
      <c r="Q31" s="2"/>
      <c r="R31" s="22"/>
      <c r="S31" s="24" t="s">
        <v>117</v>
      </c>
      <c r="T31" s="39">
        <f>-T27</f>
        <v>0.15493823165107432</v>
      </c>
      <c r="AD31" s="2">
        <f>risk_based_force_calcs!$D$49*hazard_calcs!C31^(-risk_based_force_calcs!$D$46)</f>
        <v>8.7320572685672986E-7</v>
      </c>
    </row>
    <row r="32" spans="1:30" x14ac:dyDescent="0.25">
      <c r="A32" s="14">
        <v>1.7E-5</v>
      </c>
      <c r="B32" s="17">
        <f t="shared" si="2"/>
        <v>3.4000289003364894E-7</v>
      </c>
      <c r="C32" s="27">
        <v>2.7506240879999901</v>
      </c>
      <c r="D32" s="30" cm="1">
        <f t="array" ref="D32">IF(B32&gt;MAX(raw_hazard_data!$C$3:$C$27),raw_hazard_data!$B$3, IF(hazard_calcs!B32&lt;MIN(raw_hazard_data!$C$3:$C$27),raw_hazard_data!$B$27, LinearInterpolate(hazard_calcs!B32,raw_hazard_data!$C$3:$C$27,raw_hazard_data!$B$3:$B$27)))</f>
        <v>5</v>
      </c>
      <c r="E32" s="30" cm="1">
        <f t="array" ref="E32">IF(B32&gt;MAX(raw_hazard_data!$F$3:$F$27),raw_hazard_data!$E$3, IF(hazard_calcs!B32&lt;MIN(raw_hazard_data!$F$3:$F$27),raw_hazard_data!$E$27, LinearInterpolate(hazard_calcs!B32,raw_hazard_data!$F$3:$F$27,raw_hazard_data!$E$3:$E$27)))</f>
        <v>5</v>
      </c>
      <c r="F32" s="30" cm="1">
        <f t="array" ref="F32">IF(B32&gt;MAX(raw_hazard_data!$I$3:$I$27),raw_hazard_data!$H$3, IF(hazard_calcs!B32&lt;MIN(raw_hazard_data!$I$3:$I$27),raw_hazard_data!$H$27, LinearInterpolate(hazard_calcs!B32,raw_hazard_data!$I$3:$I$27,raw_hazard_data!$H$3:$H$27)))</f>
        <v>5</v>
      </c>
      <c r="G32" s="30" cm="1">
        <f t="array" ref="G32">IF(B32&gt;MAX(raw_hazard_data!$L$3:$L$27),raw_hazard_data!$K$3, IF(hazard_calcs!B32&lt;MIN(raw_hazard_data!$L$3:$L$27),raw_hazard_data!$K$27, LinearInterpolate(hazard_calcs!B32,raw_hazard_data!$L$3:$L$27,raw_hazard_data!$K$3:$K$27)))</f>
        <v>1.3425850686988936</v>
      </c>
      <c r="H32" s="30">
        <f t="shared" si="3"/>
        <v>5</v>
      </c>
      <c r="I32" s="30">
        <f>1.6*(1-0.2*H32)</f>
        <v>0</v>
      </c>
      <c r="J32" s="30">
        <f t="shared" si="5"/>
        <v>1.3736163025977632</v>
      </c>
      <c r="K32" s="7" t="e">
        <f>(J32*G32)/(I32*H32)</f>
        <v>#DIV/0!</v>
      </c>
      <c r="L32" s="30" t="e">
        <f t="shared" si="11"/>
        <v>#DIV/0!</v>
      </c>
      <c r="M32" s="30">
        <f t="shared" si="8"/>
        <v>0.51510611347416113</v>
      </c>
      <c r="N32" s="30">
        <f t="shared" si="9"/>
        <v>1.4168632835980839</v>
      </c>
      <c r="O32" s="30">
        <f t="shared" si="0"/>
        <v>1.1069271750992376E-5</v>
      </c>
      <c r="P32" s="30">
        <f t="shared" si="1"/>
        <v>5.201630288107375E-6</v>
      </c>
      <c r="AD32" s="2">
        <f>risk_based_force_calcs!$D$49*hazard_calcs!C32^(-risk_based_force_calcs!$D$46)</f>
        <v>2.8394245098274142E-7</v>
      </c>
    </row>
    <row r="33" spans="1:30" x14ac:dyDescent="0.25">
      <c r="A33" s="14">
        <v>9.9999999999999995E-7</v>
      </c>
      <c r="B33" s="17">
        <f t="shared" si="2"/>
        <v>2.0000010000581783E-8</v>
      </c>
      <c r="C33" s="27">
        <v>4</v>
      </c>
      <c r="D33" s="30" cm="1">
        <f t="array" ref="D33">IF(B33&gt;MAX(raw_hazard_data!$C$3:$C$27),raw_hazard_data!$B$3, IF(hazard_calcs!B33&lt;MIN(raw_hazard_data!$C$3:$C$27),raw_hazard_data!$B$27, LinearInterpolate(hazard_calcs!B33,raw_hazard_data!$C$3:$C$27,raw_hazard_data!$B$3:$B$27)))</f>
        <v>5</v>
      </c>
      <c r="E33" s="30" cm="1">
        <f t="array" ref="E33">IF(B33&gt;MAX(raw_hazard_data!$F$3:$F$27),raw_hazard_data!$E$3, IF(hazard_calcs!B33&lt;MIN(raw_hazard_data!$F$3:$F$27),raw_hazard_data!$E$27, LinearInterpolate(hazard_calcs!B33,raw_hazard_data!$F$3:$F$27,raw_hazard_data!$E$3:$E$27)))</f>
        <v>5</v>
      </c>
      <c r="F33" s="30" cm="1">
        <f t="array" ref="F33">IF(B33&gt;MAX(raw_hazard_data!$I$3:$I$27),raw_hazard_data!$H$3, IF(hazard_calcs!B33&lt;MIN(raw_hazard_data!$I$3:$I$27),raw_hazard_data!$H$27, LinearInterpolate(hazard_calcs!B33,raw_hazard_data!$I$3:$I$27,raw_hazard_data!$H$3:$H$27)))</f>
        <v>5</v>
      </c>
      <c r="G33" s="30" cm="1">
        <f t="array" ref="G33">IF(B33&gt;MAX(raw_hazard_data!$L$3:$L$27),raw_hazard_data!$K$3, IF(hazard_calcs!B33&lt;MIN(raw_hazard_data!$L$3:$L$27),raw_hazard_data!$K$27, LinearInterpolate(hazard_calcs!B33,raw_hazard_data!$L$3:$L$27,raw_hazard_data!$K$3:$K$27)))</f>
        <v>2.0198296785724241</v>
      </c>
      <c r="H33" s="30">
        <f t="shared" si="3"/>
        <v>5</v>
      </c>
      <c r="I33" s="30">
        <f t="shared" ref="I33" si="12">1.6*(1-0.2*H33)</f>
        <v>0</v>
      </c>
      <c r="J33" s="30">
        <f t="shared" si="5"/>
        <v>0.90631752178502722</v>
      </c>
      <c r="K33" s="7" t="e">
        <f t="shared" ref="K33" si="13">(J33*G33)/(I33*H33)</f>
        <v>#DIV/0!</v>
      </c>
      <c r="L33" s="30" t="e">
        <f t="shared" si="11"/>
        <v>#DIV/0!</v>
      </c>
      <c r="M33" s="30">
        <f t="shared" si="8"/>
        <v>0.33986907066938521</v>
      </c>
      <c r="N33" s="30">
        <f t="shared" si="9"/>
        <v>1.3594762826775408</v>
      </c>
      <c r="O33" s="30">
        <f t="shared" si="0"/>
        <v>5.7120274836633856E-6</v>
      </c>
      <c r="P33" s="30">
        <f t="shared" si="1"/>
        <v>2.0099337318213247E-6</v>
      </c>
      <c r="AD33" s="2">
        <f>risk_based_force_calcs!$D$49*hazard_calcs!C33^(-risk_based_force_calcs!$D$46)</f>
        <v>9.2330264264073531E-8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D805C-53F8-401A-AA00-CF08D39C624F}">
  <sheetPr codeName="Tabelle4"/>
  <dimension ref="B2:L27"/>
  <sheetViews>
    <sheetView workbookViewId="0">
      <selection activeCell="N18" sqref="N18"/>
    </sheetView>
  </sheetViews>
  <sheetFormatPr baseColWidth="10" defaultRowHeight="15" x14ac:dyDescent="0.25"/>
  <cols>
    <col min="1" max="1" width="3" customWidth="1"/>
  </cols>
  <sheetData>
    <row r="2" spans="2:12" x14ac:dyDescent="0.25">
      <c r="B2" s="34" t="s">
        <v>89</v>
      </c>
      <c r="C2" s="34" t="s">
        <v>83</v>
      </c>
      <c r="E2" s="34" t="s">
        <v>90</v>
      </c>
      <c r="F2" s="34" t="s">
        <v>83</v>
      </c>
      <c r="H2" s="34" t="s">
        <v>91</v>
      </c>
      <c r="I2" s="34" t="s">
        <v>83</v>
      </c>
      <c r="K2" s="34" t="s">
        <v>92</v>
      </c>
      <c r="L2" s="34" t="s">
        <v>83</v>
      </c>
    </row>
    <row r="3" spans="2:12" x14ac:dyDescent="0.25">
      <c r="B3" s="2">
        <v>5.0000000000000001E-4</v>
      </c>
      <c r="C3" s="2">
        <v>0.162101670811786</v>
      </c>
      <c r="E3" s="2">
        <v>5.0000000000000001E-4</v>
      </c>
      <c r="F3" s="2">
        <v>0.17623128504038199</v>
      </c>
      <c r="H3" s="2">
        <v>5.0000000000000001E-4</v>
      </c>
      <c r="I3" s="2">
        <v>0.185023247329931</v>
      </c>
      <c r="K3" s="2">
        <v>5.0000000000000001E-4</v>
      </c>
      <c r="L3" s="2">
        <v>0.119284771217087</v>
      </c>
    </row>
    <row r="4" spans="2:12" x14ac:dyDescent="0.25">
      <c r="B4" s="2">
        <v>7.33899599999999E-4</v>
      </c>
      <c r="C4" s="2">
        <v>0.14434003058699399</v>
      </c>
      <c r="E4" s="2">
        <v>7.33899599999999E-4</v>
      </c>
      <c r="F4" s="2">
        <v>0.15898085002061599</v>
      </c>
      <c r="H4" s="2">
        <v>7.33899599999999E-4</v>
      </c>
      <c r="I4" s="2">
        <v>0.168346957128927</v>
      </c>
      <c r="K4" s="2">
        <v>7.1844400000000005E-4</v>
      </c>
      <c r="L4" s="2">
        <v>0.10018472546365</v>
      </c>
    </row>
    <row r="5" spans="2:12" x14ac:dyDescent="0.25">
      <c r="B5" s="2">
        <v>1.0772170000000001E-3</v>
      </c>
      <c r="C5" s="2">
        <v>0.12661160549349099</v>
      </c>
      <c r="E5" s="2">
        <v>1.0772170000000001E-3</v>
      </c>
      <c r="F5" s="2">
        <v>0.140825733432134</v>
      </c>
      <c r="H5" s="2">
        <v>1.0772170000000001E-3</v>
      </c>
      <c r="I5" s="2">
        <v>0.14996691742433699</v>
      </c>
      <c r="K5" s="2">
        <v>1.032324E-3</v>
      </c>
      <c r="L5" s="2">
        <v>8.2767182952830406E-2</v>
      </c>
    </row>
    <row r="6" spans="2:12" x14ac:dyDescent="0.25">
      <c r="B6" s="2">
        <v>1.5811390000000001E-3</v>
      </c>
      <c r="C6" s="2">
        <v>0.10951541583890199</v>
      </c>
      <c r="E6" s="2">
        <v>1.5811390000000001E-3</v>
      </c>
      <c r="F6" s="2">
        <v>0.118914533108682</v>
      </c>
      <c r="H6" s="2">
        <v>1.5811390000000001E-3</v>
      </c>
      <c r="I6" s="2">
        <v>0.13101560760068701</v>
      </c>
      <c r="K6" s="2">
        <v>1.48333399999999E-3</v>
      </c>
      <c r="L6" s="2">
        <v>6.7320852311755594E-2</v>
      </c>
    </row>
    <row r="7" spans="2:12" x14ac:dyDescent="0.25">
      <c r="B7" s="2">
        <v>2.3207940000000002E-3</v>
      </c>
      <c r="C7" s="2">
        <v>9.3445439790576498E-2</v>
      </c>
      <c r="E7" s="2">
        <v>2.3207940000000002E-3</v>
      </c>
      <c r="F7" s="2">
        <v>0.105309260593541</v>
      </c>
      <c r="H7" s="2">
        <v>2.3207940000000002E-3</v>
      </c>
      <c r="I7" s="2">
        <v>0.11239801981351</v>
      </c>
      <c r="K7" s="2">
        <v>2.13138499999999E-3</v>
      </c>
      <c r="L7" s="2">
        <v>5.3881762521723102E-2</v>
      </c>
    </row>
    <row r="8" spans="2:12" x14ac:dyDescent="0.25">
      <c r="B8" s="2">
        <v>3.40646E-3</v>
      </c>
      <c r="C8" s="2">
        <v>7.8677194000746298E-2</v>
      </c>
      <c r="E8" s="2">
        <v>3.40646E-3</v>
      </c>
      <c r="F8" s="2">
        <v>8.8997546031641006E-2</v>
      </c>
      <c r="H8" s="2">
        <v>3.40646E-3</v>
      </c>
      <c r="I8" s="2">
        <v>9.47580379688409E-2</v>
      </c>
      <c r="K8" s="2">
        <v>3.062562E-3</v>
      </c>
      <c r="L8" s="2">
        <v>4.2336389475950698E-2</v>
      </c>
    </row>
    <row r="9" spans="2:12" x14ac:dyDescent="0.25">
      <c r="B9" s="2">
        <v>5.0000000000000001E-3</v>
      </c>
      <c r="C9" s="2">
        <v>6.5370251946185995E-2</v>
      </c>
      <c r="E9" s="2">
        <v>5.0000000000000001E-3</v>
      </c>
      <c r="F9" s="2">
        <v>7.4087172819247898E-2</v>
      </c>
      <c r="H9" s="2">
        <v>5.0000000000000001E-3</v>
      </c>
      <c r="I9" s="2">
        <v>7.8522438596152905E-2</v>
      </c>
      <c r="K9" s="2">
        <v>4.4005590000000001E-3</v>
      </c>
      <c r="L9" s="2">
        <v>3.2513073604179002E-2</v>
      </c>
    </row>
    <row r="10" spans="2:12" x14ac:dyDescent="0.25">
      <c r="B10" s="2">
        <v>7.3389960000000004E-3</v>
      </c>
      <c r="C10" s="2">
        <v>5.3594211767443799E-2</v>
      </c>
      <c r="E10" s="2">
        <v>7.3389960000000004E-3</v>
      </c>
      <c r="F10" s="2">
        <v>6.0746507973047002E-2</v>
      </c>
      <c r="H10" s="2">
        <v>7.3389960000000004E-3</v>
      </c>
      <c r="I10" s="2">
        <v>6.39603966197764E-2</v>
      </c>
      <c r="K10" s="2">
        <v>6.3231110000000002E-3</v>
      </c>
      <c r="L10" s="2">
        <v>2.4259194654672699E-2</v>
      </c>
    </row>
    <row r="11" spans="2:12" x14ac:dyDescent="0.25">
      <c r="B11" s="2">
        <v>1.0772172999999901E-2</v>
      </c>
      <c r="C11" s="2">
        <v>4.3354266980836602E-2</v>
      </c>
      <c r="E11" s="2">
        <v>1.0772172999999901E-2</v>
      </c>
      <c r="F11" s="2">
        <v>4.9044220498997697E-2</v>
      </c>
      <c r="H11" s="2">
        <v>1.0772172999999901E-2</v>
      </c>
      <c r="I11" s="2">
        <v>5.1198898013413499E-2</v>
      </c>
      <c r="K11" s="2">
        <v>9.0856029999999907E-3</v>
      </c>
      <c r="L11" s="2">
        <v>1.74773683709477E-2</v>
      </c>
    </row>
    <row r="12" spans="2:12" x14ac:dyDescent="0.25">
      <c r="B12" s="2">
        <v>1.5811387999999899E-2</v>
      </c>
      <c r="C12" s="2">
        <v>3.4601287235247101E-2</v>
      </c>
      <c r="E12" s="2">
        <v>1.5811387999999899E-2</v>
      </c>
      <c r="F12" s="2">
        <v>3.8972616935983501E-2</v>
      </c>
      <c r="H12" s="2">
        <v>1.5811387999999899E-2</v>
      </c>
      <c r="I12" s="2">
        <v>4.0256753097581303E-2</v>
      </c>
      <c r="K12" s="2">
        <v>1.3054994999999899E-2</v>
      </c>
      <c r="L12" s="2">
        <v>1.2105913131852801E-2</v>
      </c>
    </row>
    <row r="13" spans="2:12" x14ac:dyDescent="0.25">
      <c r="B13" s="2">
        <v>2.3207944000000001E-2</v>
      </c>
      <c r="C13" s="2">
        <v>2.7248275709187E-2</v>
      </c>
      <c r="E13" s="2">
        <v>2.3207944000000001E-2</v>
      </c>
      <c r="F13" s="2">
        <v>3.04697002419991E-2</v>
      </c>
      <c r="H13" s="2">
        <v>2.3207944000000001E-2</v>
      </c>
      <c r="I13" s="2">
        <v>3.1072969815841098E-2</v>
      </c>
      <c r="K13" s="2">
        <v>1.8758567999999899E-2</v>
      </c>
      <c r="L13" s="2">
        <v>8.0576389468515093E-3</v>
      </c>
    </row>
    <row r="14" spans="2:12" x14ac:dyDescent="0.25">
      <c r="B14" s="2">
        <v>3.40646E-2</v>
      </c>
      <c r="C14" s="2">
        <v>2.11709155891005E-2</v>
      </c>
      <c r="E14" s="2">
        <v>3.40646E-2</v>
      </c>
      <c r="F14" s="2">
        <v>2.3424949994264602E-2</v>
      </c>
      <c r="H14" s="2">
        <v>3.40646E-2</v>
      </c>
      <c r="I14" s="2">
        <v>2.35286443708718E-2</v>
      </c>
      <c r="K14" s="2">
        <v>2.6953964999999899E-2</v>
      </c>
      <c r="L14" s="2">
        <v>5.1722024018799303E-3</v>
      </c>
    </row>
    <row r="15" spans="2:12" x14ac:dyDescent="0.25">
      <c r="B15" s="2">
        <v>0.05</v>
      </c>
      <c r="C15" s="2">
        <v>1.6212910134998301E-2</v>
      </c>
      <c r="E15" s="2">
        <v>0.05</v>
      </c>
      <c r="F15" s="2">
        <v>1.7691578184789399E-2</v>
      </c>
      <c r="H15" s="2">
        <v>0.05</v>
      </c>
      <c r="I15" s="2">
        <v>1.7460458615574902E-2</v>
      </c>
      <c r="K15" s="2">
        <v>3.8729832999999901E-2</v>
      </c>
      <c r="L15" s="2">
        <v>3.21878003541106E-3</v>
      </c>
    </row>
    <row r="16" spans="2:12" x14ac:dyDescent="0.25">
      <c r="B16" s="2">
        <v>7.3389960000000004E-2</v>
      </c>
      <c r="C16" s="2">
        <v>1.2195836239303299E-2</v>
      </c>
      <c r="E16" s="2">
        <v>7.3389960000000004E-2</v>
      </c>
      <c r="F16" s="2">
        <v>1.3090571434240099E-2</v>
      </c>
      <c r="H16" s="2">
        <v>7.3389960000000004E-2</v>
      </c>
      <c r="I16" s="2">
        <v>1.26673241726733E-2</v>
      </c>
      <c r="K16" s="2">
        <v>5.5650439000000003E-2</v>
      </c>
      <c r="L16" s="2">
        <v>1.9447166536861299E-3</v>
      </c>
    </row>
    <row r="17" spans="2:12" x14ac:dyDescent="0.25">
      <c r="B17" s="2">
        <v>0.10772173</v>
      </c>
      <c r="C17" s="2">
        <v>8.9449074824784602E-3</v>
      </c>
      <c r="E17" s="2">
        <v>0.10772173</v>
      </c>
      <c r="F17" s="2">
        <v>9.4323866758729193E-3</v>
      </c>
      <c r="H17" s="2">
        <v>0.10772173</v>
      </c>
      <c r="I17" s="2">
        <v>8.9310552582597593E-3</v>
      </c>
      <c r="K17" s="2">
        <v>7.9963458000000001E-2</v>
      </c>
      <c r="L17" s="2">
        <v>1.13214778422638E-3</v>
      </c>
    </row>
    <row r="18" spans="2:12" x14ac:dyDescent="0.25">
      <c r="B18" s="2">
        <v>0.15811388300000001</v>
      </c>
      <c r="C18" s="2">
        <v>6.3227009269386297E-3</v>
      </c>
      <c r="E18" s="2">
        <v>0.15811388300000001</v>
      </c>
      <c r="F18" s="2">
        <v>6.5500635827705498E-3</v>
      </c>
      <c r="H18" s="2">
        <v>0.15811388300000001</v>
      </c>
      <c r="I18" s="2">
        <v>6.0541545533757896E-3</v>
      </c>
      <c r="K18" s="2">
        <v>0.114898547</v>
      </c>
      <c r="L18" s="2">
        <v>6.2411755852585403E-4</v>
      </c>
    </row>
    <row r="19" spans="2:12" x14ac:dyDescent="0.25">
      <c r="B19" s="2">
        <v>0.232079441999999</v>
      </c>
      <c r="C19" s="2">
        <v>4.2436518540698602E-3</v>
      </c>
      <c r="E19" s="2">
        <v>0.232079441999999</v>
      </c>
      <c r="F19" s="2">
        <v>4.3226884549431698E-3</v>
      </c>
      <c r="H19" s="2">
        <v>0.232079441999999</v>
      </c>
      <c r="I19" s="2">
        <v>3.88837669378918E-3</v>
      </c>
      <c r="K19" s="2">
        <v>0.165096361999999</v>
      </c>
      <c r="L19" s="2">
        <v>3.1777114543865797E-4</v>
      </c>
    </row>
    <row r="20" spans="2:12" x14ac:dyDescent="0.25">
      <c r="B20" s="2">
        <v>0.34064603500000001</v>
      </c>
      <c r="C20" s="2">
        <v>2.66233243022195E-3</v>
      </c>
      <c r="E20" s="2">
        <v>0.34064603500000001</v>
      </c>
      <c r="F20" s="2">
        <v>2.6689364954382501E-3</v>
      </c>
      <c r="H20" s="2">
        <v>0.34064603500000001</v>
      </c>
      <c r="I20" s="2">
        <v>2.3274631001071601E-3</v>
      </c>
      <c r="K20" s="2">
        <v>0.23722500999999899</v>
      </c>
      <c r="L20" s="2">
        <v>1.4522599081457499E-4</v>
      </c>
    </row>
    <row r="21" spans="2:12" x14ac:dyDescent="0.25">
      <c r="B21" s="2">
        <v>0.5</v>
      </c>
      <c r="C21" s="2">
        <v>1.5366057936894301E-3</v>
      </c>
      <c r="E21" s="2">
        <v>0.5</v>
      </c>
      <c r="F21" s="2">
        <v>1.51713462221914E-3</v>
      </c>
      <c r="H21" s="2">
        <v>0.5</v>
      </c>
      <c r="I21" s="2">
        <v>1.2766101034674101E-3</v>
      </c>
      <c r="K21" s="2">
        <v>0.34086580999999899</v>
      </c>
      <c r="L21" s="2">
        <v>5.7823508454666098E-5</v>
      </c>
    </row>
    <row r="22" spans="2:12" x14ac:dyDescent="0.25">
      <c r="B22" s="2">
        <v>0.73389959999999899</v>
      </c>
      <c r="C22" s="2">
        <v>8.0436020577583697E-4</v>
      </c>
      <c r="E22" s="2">
        <v>0.73389959999999899</v>
      </c>
      <c r="F22" s="2">
        <v>7.8194881503272E-4</v>
      </c>
      <c r="H22" s="2">
        <v>0.73389959999999899</v>
      </c>
      <c r="I22" s="2">
        <v>6.30453186943673E-4</v>
      </c>
      <c r="K22" s="2">
        <v>0.489786049</v>
      </c>
      <c r="L22" s="2">
        <v>1.93893956800996E-5</v>
      </c>
    </row>
    <row r="23" spans="2:12" x14ac:dyDescent="0.25">
      <c r="B23" s="2">
        <v>1.07721734499999</v>
      </c>
      <c r="C23" s="2">
        <v>3.7586993279674997E-4</v>
      </c>
      <c r="E23" s="2">
        <v>1.07721734499999</v>
      </c>
      <c r="F23" s="2">
        <v>3.5926759498806601E-4</v>
      </c>
      <c r="H23" s="2">
        <v>1.07721734499999</v>
      </c>
      <c r="I23" s="2">
        <v>2.7467758909284598E-4</v>
      </c>
      <c r="K23" s="2">
        <v>0.70376777899999898</v>
      </c>
      <c r="L23" s="2">
        <v>5.22068132855286E-6</v>
      </c>
    </row>
    <row r="24" spans="2:12" x14ac:dyDescent="0.25">
      <c r="B24" s="2">
        <v>1.58113882999999</v>
      </c>
      <c r="C24" s="2">
        <v>1.54333945420119E-4</v>
      </c>
      <c r="E24" s="2">
        <v>1.58113882999999</v>
      </c>
      <c r="F24" s="2">
        <v>1.4456119196401299E-4</v>
      </c>
      <c r="H24" s="2">
        <v>1.58113882999999</v>
      </c>
      <c r="I24" s="2">
        <v>1.03165621724215E-4</v>
      </c>
      <c r="K24" s="2">
        <v>1.0112355959999899</v>
      </c>
      <c r="L24" s="2">
        <v>1.00002500083325E-6</v>
      </c>
    </row>
    <row r="25" spans="2:12" x14ac:dyDescent="0.25">
      <c r="B25" s="2">
        <v>2.3207944170000001</v>
      </c>
      <c r="C25" s="2">
        <v>5.4815048660067298E-5</v>
      </c>
      <c r="E25" s="2">
        <v>2.3207944170000001</v>
      </c>
      <c r="F25" s="2">
        <v>4.9902204003073898E-5</v>
      </c>
      <c r="H25" s="2">
        <v>2.3207944170000001</v>
      </c>
      <c r="I25" s="2">
        <v>3.2506402348813998E-5</v>
      </c>
      <c r="K25" s="2">
        <v>1.45303246299999</v>
      </c>
      <c r="L25" s="2">
        <v>1.2000036000044901E-7</v>
      </c>
    </row>
    <row r="26" spans="2:12" x14ac:dyDescent="0.25">
      <c r="B26" s="2">
        <v>3.4064603450000002</v>
      </c>
      <c r="C26" s="2">
        <v>1.63266621844756E-5</v>
      </c>
      <c r="E26" s="2">
        <v>3.4064603450000002</v>
      </c>
      <c r="F26" s="2">
        <v>1.4365157708971E-5</v>
      </c>
      <c r="H26" s="2">
        <v>3.4064603450000002</v>
      </c>
      <c r="I26" s="2">
        <v>8.2216896729872595E-6</v>
      </c>
      <c r="K26" s="2">
        <v>2.087845154</v>
      </c>
      <c r="L26" s="2">
        <v>8.0000016002304701E-9</v>
      </c>
    </row>
    <row r="27" spans="2:12" x14ac:dyDescent="0.25">
      <c r="B27" s="2">
        <v>5</v>
      </c>
      <c r="C27" s="2">
        <v>4.0604121457770702E-6</v>
      </c>
      <c r="E27" s="2">
        <v>5</v>
      </c>
      <c r="F27" s="2">
        <v>3.32027559049909E-6</v>
      </c>
      <c r="H27" s="2">
        <v>5</v>
      </c>
      <c r="I27" s="2">
        <v>1.52005776292597E-6</v>
      </c>
      <c r="K27" s="2">
        <v>3</v>
      </c>
      <c r="L27" s="2">
        <v>3.0000000264720399E-10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</vt:i4>
      </vt:variant>
    </vt:vector>
  </HeadingPairs>
  <TitlesOfParts>
    <vt:vector size="9" baseType="lpstr">
      <vt:lpstr>risk_based_force_calcs</vt:lpstr>
      <vt:lpstr>ec8_force_calcs</vt:lpstr>
      <vt:lpstr>hazard_calcs</vt:lpstr>
      <vt:lpstr>raw_hazard_data</vt:lpstr>
      <vt:lpstr>T</vt:lpstr>
      <vt:lpstr>TA</vt:lpstr>
      <vt:lpstr>TB</vt:lpstr>
      <vt:lpstr>TC</vt:lpstr>
      <vt:lpstr>TD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Aaron Clemett</dc:creator>
  <cp:lastModifiedBy>Nicholas Aaron Clemett</cp:lastModifiedBy>
  <dcterms:created xsi:type="dcterms:W3CDTF">2025-08-12T12:39:22Z</dcterms:created>
  <dcterms:modified xsi:type="dcterms:W3CDTF">2025-09-15T09:36:16Z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d2079b-6d85-4185-8122-5cca51dad164_Enabled">
    <vt:lpwstr>true</vt:lpwstr>
  </property>
  <property fmtid="{D5CDD505-2E9C-101B-9397-08002B2CF9AE}" pid="3" name="MSIP_Label_8fd2079b-6d85-4185-8122-5cca51dad164_SetDate">
    <vt:lpwstr>2025-08-12T13:35:24Z</vt:lpwstr>
  </property>
  <property fmtid="{D5CDD505-2E9C-101B-9397-08002B2CF9AE}" pid="4" name="MSIP_Label_8fd2079b-6d85-4185-8122-5cca51dad164_Method">
    <vt:lpwstr>Standard</vt:lpwstr>
  </property>
  <property fmtid="{D5CDD505-2E9C-101B-9397-08002B2CF9AE}" pid="5" name="MSIP_Label_8fd2079b-6d85-4185-8122-5cca51dad164_Name">
    <vt:lpwstr>Öffentlich</vt:lpwstr>
  </property>
  <property fmtid="{D5CDD505-2E9C-101B-9397-08002B2CF9AE}" pid="6" name="MSIP_Label_8fd2079b-6d85-4185-8122-5cca51dad164_SiteId">
    <vt:lpwstr>5832f73f-b0fa-45a0-80d9-7e32bd7fa822</vt:lpwstr>
  </property>
  <property fmtid="{D5CDD505-2E9C-101B-9397-08002B2CF9AE}" pid="7" name="MSIP_Label_8fd2079b-6d85-4185-8122-5cca51dad164_ActionId">
    <vt:lpwstr>5841f075-8cdc-4d5d-9a3b-e7a0e0b81f6d</vt:lpwstr>
  </property>
  <property fmtid="{D5CDD505-2E9C-101B-9397-08002B2CF9AE}" pid="8" name="MSIP_Label_8fd2079b-6d85-4185-8122-5cca51dad164_ContentBits">
    <vt:lpwstr>0</vt:lpwstr>
  </property>
  <property fmtid="{D5CDD505-2E9C-101B-9397-08002B2CF9AE}" pid="9" name="MSIP_Label_8fd2079b-6d85-4185-8122-5cca51dad164_Tag">
    <vt:lpwstr>10, 3, 0, 1</vt:lpwstr>
  </property>
</Properties>
</file>