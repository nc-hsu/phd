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"/>
    </mc:Choice>
  </mc:AlternateContent>
  <xr:revisionPtr revIDLastSave="1330" documentId="8_{FAC450E0-2F5A-4F24-B2C3-33E6661D2D3A}" xr6:coauthVersionLast="47" xr6:coauthVersionMax="47" xr10:uidLastSave="{89B64E99-DAEA-4382-83DF-5756453C5CC8}"/>
  <bookViews>
    <workbookView xWindow="28680" yWindow="-120" windowWidth="29040" windowHeight="17520" xr2:uid="{8E439FA4-D721-49A7-A7A8-46BE1E22D8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" l="1"/>
  <c r="D96" i="1"/>
  <c r="D95" i="1"/>
  <c r="M76" i="1"/>
  <c r="N76" i="1"/>
  <c r="L76" i="1"/>
  <c r="L93" i="1"/>
  <c r="M74" i="1"/>
  <c r="N74" i="1"/>
  <c r="L74" i="1"/>
  <c r="L64" i="1"/>
  <c r="N53" i="1"/>
  <c r="L54" i="1"/>
  <c r="L53" i="1"/>
  <c r="M53" i="1"/>
  <c r="N54" i="1"/>
  <c r="M54" i="1"/>
  <c r="L75" i="1"/>
  <c r="L68" i="1"/>
  <c r="M65" i="1"/>
  <c r="M64" i="1" s="1"/>
  <c r="N65" i="1"/>
  <c r="N64" i="1" s="1"/>
  <c r="M66" i="1"/>
  <c r="N66" i="1"/>
  <c r="L66" i="1"/>
  <c r="L65" i="1"/>
  <c r="M82" i="1"/>
  <c r="N82" i="1"/>
  <c r="L82" i="1"/>
  <c r="M59" i="1"/>
  <c r="N59" i="1"/>
  <c r="L59" i="1"/>
  <c r="M61" i="1"/>
  <c r="N61" i="1"/>
  <c r="L61" i="1"/>
  <c r="M60" i="1"/>
  <c r="N60" i="1"/>
  <c r="L60" i="1"/>
  <c r="L36" i="1"/>
  <c r="L39" i="1"/>
  <c r="D86" i="1"/>
  <c r="D87" i="1"/>
  <c r="D91" i="1" s="1"/>
  <c r="D84" i="1"/>
  <c r="D51" i="1"/>
  <c r="M17" i="1"/>
  <c r="N5" i="1"/>
  <c r="L5" i="1"/>
  <c r="L7" i="1" s="1"/>
  <c r="M78" i="1"/>
  <c r="L78" i="1" s="1"/>
  <c r="N78" i="1"/>
  <c r="D60" i="1"/>
  <c r="D59" i="1"/>
  <c r="D56" i="1"/>
  <c r="D97" i="1"/>
  <c r="D110" i="1"/>
  <c r="D109" i="1"/>
  <c r="D108" i="1"/>
  <c r="L94" i="1" s="1"/>
  <c r="D107" i="1"/>
  <c r="D105" i="1"/>
  <c r="L79" i="1"/>
  <c r="D79" i="1"/>
  <c r="D73" i="1"/>
  <c r="D70" i="1"/>
  <c r="D72" i="1" s="1"/>
  <c r="D100" i="1"/>
  <c r="D74" i="1"/>
  <c r="D75" i="1"/>
  <c r="D67" i="1"/>
  <c r="D45" i="1"/>
  <c r="D50" i="1"/>
  <c r="D49" i="1"/>
  <c r="D53" i="1"/>
  <c r="M23" i="1"/>
  <c r="M25" i="1" s="1"/>
  <c r="M22" i="1"/>
  <c r="M24" i="1" s="1"/>
  <c r="M69" i="1" s="1"/>
  <c r="M75" i="1" s="1"/>
  <c r="M79" i="1"/>
  <c r="N79" i="1"/>
  <c r="D65" i="1"/>
  <c r="M12" i="1"/>
  <c r="M14" i="1" s="1"/>
  <c r="M11" i="1"/>
  <c r="D48" i="1"/>
  <c r="E46" i="1"/>
  <c r="E47" i="1"/>
  <c r="D47" i="1"/>
  <c r="D46" i="1"/>
  <c r="D4" i="1"/>
  <c r="D68" i="1"/>
  <c r="D61" i="1"/>
  <c r="D54" i="1"/>
  <c r="D55" i="1" s="1"/>
  <c r="D62" i="1"/>
  <c r="D89" i="1" l="1"/>
  <c r="D88" i="1" s="1"/>
  <c r="D111" i="1"/>
  <c r="D112" i="1" s="1"/>
  <c r="N22" i="1"/>
  <c r="L16" i="1"/>
  <c r="L18" i="1" s="1"/>
  <c r="D71" i="1"/>
  <c r="D76" i="1"/>
  <c r="D78" i="1" s="1"/>
  <c r="D92" i="1"/>
  <c r="D82" i="1"/>
  <c r="D90" i="1"/>
  <c r="L22" i="1"/>
  <c r="N17" i="1"/>
  <c r="N23" i="1"/>
  <c r="N25" i="1" s="1"/>
  <c r="N18" i="1"/>
  <c r="D81" i="1"/>
  <c r="M18" i="1"/>
  <c r="L17" i="1"/>
  <c r="M13" i="1"/>
  <c r="M63" i="1" s="1"/>
  <c r="D83" i="1"/>
  <c r="D58" i="1"/>
  <c r="F68" i="1"/>
  <c r="D57" i="1"/>
  <c r="D64" i="1" s="1"/>
  <c r="D98" i="1" l="1"/>
  <c r="L23" i="1"/>
  <c r="N56" i="1"/>
  <c r="L19" i="1"/>
  <c r="M55" i="1"/>
  <c r="M56" i="1"/>
  <c r="M44" i="1"/>
  <c r="G68" i="1"/>
  <c r="M19" i="1"/>
  <c r="M20" i="1"/>
  <c r="M49" i="1" s="1"/>
  <c r="M51" i="1" s="1"/>
  <c r="N20" i="1"/>
  <c r="N49" i="1" s="1"/>
  <c r="N51" i="1" s="1"/>
  <c r="M42" i="1"/>
  <c r="M38" i="1"/>
  <c r="M43" i="1"/>
  <c r="D63" i="1"/>
  <c r="M7" i="1"/>
  <c r="M9" i="1" s="1"/>
  <c r="M37" i="1" s="1"/>
  <c r="M6" i="1"/>
  <c r="N6" i="1"/>
  <c r="L6" i="1"/>
  <c r="N11" i="1"/>
  <c r="L11" i="1"/>
  <c r="N7" i="1"/>
  <c r="N9" i="1" s="1"/>
  <c r="N37" i="1" s="1"/>
  <c r="L88" i="1" l="1"/>
  <c r="L89" i="1" s="1"/>
  <c r="L90" i="1" s="1"/>
  <c r="M73" i="1"/>
  <c r="M68" i="1"/>
  <c r="M83" i="1" s="1"/>
  <c r="M48" i="1"/>
  <c r="M50" i="1" s="1"/>
  <c r="M81" i="1" s="1"/>
  <c r="M45" i="1"/>
  <c r="L48" i="1"/>
  <c r="L50" i="1" s="1"/>
  <c r="M46" i="1"/>
  <c r="N40" i="1"/>
  <c r="M40" i="1"/>
  <c r="L12" i="1"/>
  <c r="L14" i="1" s="1"/>
  <c r="L43" i="1" s="1"/>
  <c r="L46" i="1" s="1"/>
  <c r="N12" i="1"/>
  <c r="N14" i="1" s="1"/>
  <c r="N43" i="1" s="1"/>
  <c r="N46" i="1" s="1"/>
  <c r="N19" i="1"/>
  <c r="M8" i="1"/>
  <c r="L9" i="1"/>
  <c r="L37" i="1" s="1"/>
  <c r="L40" i="1" s="1"/>
  <c r="N8" i="1"/>
  <c r="M88" i="1" l="1"/>
  <c r="M72" i="1"/>
  <c r="N36" i="1"/>
  <c r="N58" i="1"/>
  <c r="M36" i="1"/>
  <c r="M39" i="1" s="1"/>
  <c r="M80" i="1" s="1"/>
  <c r="M58" i="1"/>
  <c r="N68" i="1"/>
  <c r="N83" i="1" s="1"/>
  <c r="N48" i="1"/>
  <c r="N50" i="1" s="1"/>
  <c r="N81" i="1" s="1"/>
  <c r="N24" i="1"/>
  <c r="N69" i="1" s="1"/>
  <c r="N75" i="1" s="1"/>
  <c r="L20" i="1"/>
  <c r="L24" i="1"/>
  <c r="L25" i="1"/>
  <c r="L56" i="1" s="1"/>
  <c r="N55" i="1"/>
  <c r="N73" i="1" s="1"/>
  <c r="L8" i="1"/>
  <c r="N13" i="1"/>
  <c r="L13" i="1"/>
  <c r="L63" i="1" s="1"/>
  <c r="M85" i="1" l="1"/>
  <c r="M87" i="1"/>
  <c r="L69" i="1"/>
  <c r="L55" i="1"/>
  <c r="L73" i="1" s="1"/>
  <c r="L49" i="1"/>
  <c r="L51" i="1" s="1"/>
  <c r="L81" i="1" s="1"/>
  <c r="L83" i="1"/>
  <c r="N44" i="1"/>
  <c r="N63" i="1"/>
  <c r="L58" i="1"/>
  <c r="L44" i="1"/>
  <c r="L42" i="1"/>
  <c r="N42" i="1"/>
  <c r="N38" i="1"/>
  <c r="N39" i="1" s="1"/>
  <c r="N80" i="1" s="1"/>
  <c r="N87" i="1" s="1"/>
  <c r="L38" i="1"/>
  <c r="N85" i="1" l="1"/>
  <c r="N45" i="1"/>
  <c r="N72" i="1" s="1"/>
  <c r="L45" i="1"/>
  <c r="L72" i="1" s="1"/>
  <c r="L80" i="1"/>
  <c r="L85" i="1" s="1"/>
  <c r="O85" i="1" l="1"/>
  <c r="L87" i="1"/>
  <c r="M89" i="1" l="1"/>
  <c r="M90" i="1"/>
  <c r="N88" i="1" l="1"/>
  <c r="N89" i="1"/>
  <c r="N90" i="1" s="1"/>
  <c r="L9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tc={E225740E-2057-490D-AED1-7A4271E045B3}</author>
    <author>tc={46D062C4-C333-4A17-BCAE-7669992D299B}</author>
    <author>tc={0ACA3C57-9621-495C-9701-DC66F5682D68}</author>
  </authors>
  <commentList>
    <comment ref="L4" authorId="0" shapeId="0" xr:uid="{E225740E-2057-490D-AED1-7A4271E045B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Inner bolt row adjacent(or not) to stiffener
- Inner bolt row adjacent(or not) to stiffener. First/last bolt row</t>
      </text>
    </comment>
    <comment ref="M4" authorId="1" shapeId="0" xr:uid="{46D062C4-C333-4A17-BCAE-7669992D299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Inner bolt row internal row</t>
      </text>
    </comment>
    <comment ref="N4" authorId="2" shapeId="0" xr:uid="{0ACA3C57-9621-495C-9701-DC66F5682D6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Inner bolt row adjacent(or not) to stiffener
- Inner bolt row adjacent(or not) to stiffener. First/last bolt row
</t>
      </text>
    </comment>
  </commentList>
</comments>
</file>

<file path=xl/sharedStrings.xml><?xml version="1.0" encoding="utf-8"?>
<sst xmlns="http://schemas.openxmlformats.org/spreadsheetml/2006/main" count="350" uniqueCount="186">
  <si>
    <t>Column Section</t>
  </si>
  <si>
    <t>Beam Section</t>
  </si>
  <si>
    <t>f_y_w</t>
  </si>
  <si>
    <t>f_y_f</t>
  </si>
  <si>
    <t>t_ep</t>
  </si>
  <si>
    <t>e_ep</t>
  </si>
  <si>
    <t>p</t>
  </si>
  <si>
    <t>t_s</t>
  </si>
  <si>
    <t>d_s</t>
  </si>
  <si>
    <t>a_s</t>
  </si>
  <si>
    <t>t_sp</t>
  </si>
  <si>
    <t>mm</t>
  </si>
  <si>
    <t>thickness supplementary plates</t>
  </si>
  <si>
    <t>h</t>
  </si>
  <si>
    <t>b</t>
  </si>
  <si>
    <t>t_f</t>
  </si>
  <si>
    <t>t_w</t>
  </si>
  <si>
    <t>Distance between stiffeners</t>
  </si>
  <si>
    <t>weld to stiffeners</t>
  </si>
  <si>
    <t>thickness of stiffeners</t>
  </si>
  <si>
    <t>weld between beam flange and endplate</t>
  </si>
  <si>
    <t>bolt edge distance, endplate</t>
  </si>
  <si>
    <t>distance between bolt rows</t>
  </si>
  <si>
    <t>MPa</t>
  </si>
  <si>
    <t>yield stress, web</t>
  </si>
  <si>
    <t>yield stress, flange</t>
  </si>
  <si>
    <t>section height</t>
  </si>
  <si>
    <t>flange width</t>
  </si>
  <si>
    <t>flange thickness</t>
  </si>
  <si>
    <t>web thickness</t>
  </si>
  <si>
    <t>IPE 400</t>
  </si>
  <si>
    <t>HEB 200</t>
  </si>
  <si>
    <t>Bolt Row</t>
  </si>
  <si>
    <t>w</t>
  </si>
  <si>
    <t>e_cf</t>
  </si>
  <si>
    <t>e_min</t>
  </si>
  <si>
    <t>m_cf</t>
  </si>
  <si>
    <t>m_ep</t>
  </si>
  <si>
    <t>m_2_cf</t>
  </si>
  <si>
    <t>m_2_ep</t>
  </si>
  <si>
    <t>t_fix</t>
  </si>
  <si>
    <t>t_washer</t>
  </si>
  <si>
    <t>thickness of endplate</t>
  </si>
  <si>
    <t>b_ep</t>
  </si>
  <si>
    <t>radius</t>
  </si>
  <si>
    <t>r</t>
  </si>
  <si>
    <t>weld between beam web and endplate</t>
  </si>
  <si>
    <t>&lt;-- 0 is full pen. Weld</t>
  </si>
  <si>
    <t>n_bolt_rows</t>
  </si>
  <si>
    <t>transverse stiffeners</t>
  </si>
  <si>
    <t>a_pf</t>
  </si>
  <si>
    <t xml:space="preserve"> --&gt; centre of compression: middle of compression flange</t>
  </si>
  <si>
    <t>h_r</t>
  </si>
  <si>
    <t>h_wc/t_wc</t>
  </si>
  <si>
    <t>h/t limit</t>
  </si>
  <si>
    <t>γM0</t>
  </si>
  <si>
    <t>γM1</t>
  </si>
  <si>
    <t>γM2</t>
  </si>
  <si>
    <t>ω_rm * f_y_w</t>
  </si>
  <si>
    <t>ω_rm * f_y_f</t>
  </si>
  <si>
    <t>ω_rm</t>
  </si>
  <si>
    <t>A_vc</t>
  </si>
  <si>
    <t>mm²</t>
  </si>
  <si>
    <t>A_vc_eff</t>
  </si>
  <si>
    <t>thickness of backing plates</t>
  </si>
  <si>
    <t>t_bp</t>
  </si>
  <si>
    <t>d_wc</t>
  </si>
  <si>
    <t>kN</t>
  </si>
  <si>
    <t>l_eff_cp</t>
  </si>
  <si>
    <t>l_eff_nc</t>
  </si>
  <si>
    <t>α</t>
  </si>
  <si>
    <t>l_eff_1</t>
  </si>
  <si>
    <t>l_eff_2</t>
  </si>
  <si>
    <t>Group</t>
  </si>
  <si>
    <t>Single</t>
  </si>
  <si>
    <t>N·mm / mm</t>
  </si>
  <si>
    <t>N·mm</t>
  </si>
  <si>
    <t>N</t>
  </si>
  <si>
    <t>&lt;-- Method 2</t>
  </si>
  <si>
    <t>F_t_bolts</t>
  </si>
  <si>
    <t>F_T_1_cf</t>
  </si>
  <si>
    <t>M_pl_1_cf</t>
  </si>
  <si>
    <t>M_pl_2_cf</t>
  </si>
  <si>
    <t>F_T_2_cf</t>
  </si>
  <si>
    <t>V_wp</t>
  </si>
  <si>
    <t>M_pl_cf / mm</t>
  </si>
  <si>
    <t>M_pl_bp / mm</t>
  </si>
  <si>
    <t>d_washer</t>
  </si>
  <si>
    <t>e_w</t>
  </si>
  <si>
    <t>M_bp</t>
  </si>
  <si>
    <t>n_cf</t>
  </si>
  <si>
    <t>n_ep</t>
  </si>
  <si>
    <t>F_t_rk</t>
  </si>
  <si>
    <t>d_b</t>
  </si>
  <si>
    <t>bolts per row</t>
  </si>
  <si>
    <t>Column Flange Bending</t>
  </si>
  <si>
    <t>Endplate Bending</t>
  </si>
  <si>
    <t>M_pl_ep / mm</t>
  </si>
  <si>
    <t>M_pl_1_ep</t>
  </si>
  <si>
    <t>M_pl_2_ep</t>
  </si>
  <si>
    <t>F_T_1_ep</t>
  </si>
  <si>
    <t>F_T_2_ep</t>
  </si>
  <si>
    <t>f_y_ep</t>
  </si>
  <si>
    <t>ω_rm * f_y_ep</t>
  </si>
  <si>
    <t>F_t_cf</t>
  </si>
  <si>
    <t>F_t_ep</t>
  </si>
  <si>
    <t>F_t_wc</t>
  </si>
  <si>
    <t>ω</t>
  </si>
  <si>
    <t>beta</t>
  </si>
  <si>
    <t>ω_1_cf</t>
  </si>
  <si>
    <t>b_eff_c_wc</t>
  </si>
  <si>
    <t>s_p</t>
  </si>
  <si>
    <t>ω_2_cf</t>
  </si>
  <si>
    <t>b_eff_t_wc</t>
  </si>
  <si>
    <t>F_t_wb</t>
  </si>
  <si>
    <t>b_eff_t_wb</t>
  </si>
  <si>
    <t>Column Web Tension</t>
  </si>
  <si>
    <t>Beam Web Tension</t>
  </si>
  <si>
    <t>F_c_wc</t>
  </si>
  <si>
    <t>F_c_fb</t>
  </si>
  <si>
    <t>k_wc</t>
  </si>
  <si>
    <t>reduction factor for stress in column</t>
  </si>
  <si>
    <t>E</t>
  </si>
  <si>
    <t>E-Modul</t>
  </si>
  <si>
    <t>λ_bar</t>
  </si>
  <si>
    <t>ρ</t>
  </si>
  <si>
    <t>W_pl</t>
  </si>
  <si>
    <t>mm³</t>
  </si>
  <si>
    <t>F_t_r</t>
  </si>
  <si>
    <t>F_c_limit</t>
  </si>
  <si>
    <t>§B.3.2.2(7)</t>
  </si>
  <si>
    <t>§B.3.2.2(8)</t>
  </si>
  <si>
    <t>§B.3.2.2(9)</t>
  </si>
  <si>
    <t>t_wc_t_eff</t>
  </si>
  <si>
    <t>t_wc_c_eff</t>
  </si>
  <si>
    <t>&lt;-- conform to A.4.1.4</t>
  </si>
  <si>
    <t>supplementary plates</t>
  </si>
  <si>
    <t>n_sp</t>
  </si>
  <si>
    <t>&lt;-- 0, 1 or 2</t>
  </si>
  <si>
    <t>t_wc_eff for tension</t>
  </si>
  <si>
    <t>t_wc_eff for compression</t>
  </si>
  <si>
    <t>F_c_wc_with_buckling</t>
  </si>
  <si>
    <t>F_c_wc_without_buckling</t>
  </si>
  <si>
    <t>F_c_transverse_stiffeners</t>
  </si>
  <si>
    <t>&lt;-- buckling of stiffeners Ec3-1-5 §9.4</t>
  </si>
  <si>
    <t>A_ts</t>
  </si>
  <si>
    <t>Area transverse stiffener</t>
  </si>
  <si>
    <t>i_z</t>
  </si>
  <si>
    <t>I_z</t>
  </si>
  <si>
    <t>h_w</t>
  </si>
  <si>
    <t>b_s</t>
  </si>
  <si>
    <t>Width of stiffener</t>
  </si>
  <si>
    <t>mm4</t>
  </si>
  <si>
    <t>λ1</t>
  </si>
  <si>
    <t>&lt;-- KL c</t>
  </si>
  <si>
    <t>L_cr</t>
  </si>
  <si>
    <t>Φ</t>
  </si>
  <si>
    <t>χ</t>
  </si>
  <si>
    <t>Radius of gyration, z, transverse stiffener</t>
  </si>
  <si>
    <t>2nd moment of area, z, transverse stiffener</t>
  </si>
  <si>
    <t>Σ</t>
  </si>
  <si>
    <t>M_j_R</t>
  </si>
  <si>
    <t>kNm</t>
  </si>
  <si>
    <t>F_t_min</t>
  </si>
  <si>
    <t>-</t>
  </si>
  <si>
    <t>Limiting compression force for Moment</t>
  </si>
  <si>
    <t>N_j_t_R</t>
  </si>
  <si>
    <t>N_j_c_R</t>
  </si>
  <si>
    <t>ly</t>
  </si>
  <si>
    <t>m1</t>
  </si>
  <si>
    <t>m2</t>
  </si>
  <si>
    <t>&lt;-- conservative</t>
  </si>
  <si>
    <t>ss</t>
  </si>
  <si>
    <t>&lt;-- h_beam conservative</t>
  </si>
  <si>
    <t>loaded length of web for compression resistance</t>
  </si>
  <si>
    <t>&lt;--ec3-1-5 §6.5 limited if transverse stiffners are present</t>
  </si>
  <si>
    <t>k_F</t>
  </si>
  <si>
    <t>F_cr</t>
  </si>
  <si>
    <t>λ_bar_F</t>
  </si>
  <si>
    <t>χ_F</t>
  </si>
  <si>
    <t>F_t_fc</t>
  </si>
  <si>
    <t>ω_1_t_wc</t>
  </si>
  <si>
    <t>ω_2_t_wc</t>
  </si>
  <si>
    <t>ω_t_wc</t>
  </si>
  <si>
    <t>Tragfähigkeit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</si>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</sst>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textRotation="90"/>
    </xf>
    <xf numFmtId="0" fontId="2" fillId="0" borderId="0" xfId="0" applyFont="1" applyAlignment="1">
      <alignment vertical="center" textRotation="90"/>
    </xf>
    <xf numFmtId="0" fontId="5" fillId="0" borderId="0" xfId="0" applyFont="1"/>
    <xf numFmtId="2" fontId="3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textRotation="90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5"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Aaron Clemett" id="{9E2DB8F7-3ABD-46C4-B801-5E909BAB7CC1}" userId="S::clemettn@hsu.hamburg::184f1440-b1a5-4a11-afd7-3d264db8bc34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5-02-17T08:36:59.23" personId="{9E2DB8F7-3ABD-46C4-B801-5E909BAB7CC1}" id="{E225740E-2057-490D-AED1-7A4271E045B3}">
    <text>- Inner bolt row adjacent(or not) to stiffener
- Inner bolt row adjacent(or not) to stiffener. First/last bolt row</text>
  </threadedComment>
  <threadedComment ref="M4" dT="2025-02-17T08:38:42.82" personId="{9E2DB8F7-3ABD-46C4-B801-5E909BAB7CC1}" id="{46D062C4-C333-4A17-BCAE-7669992D299B}">
    <text>Inner bolt row internal row</text>
  </threadedComment>
  <threadedComment ref="N4" dT="2025-02-17T08:38:14.08" personId="{9E2DB8F7-3ABD-46C4-B801-5E909BAB7CC1}" id="{0ACA3C57-9621-495C-9701-DC66F5682D68}">
    <text xml:space="preserve">- Inner bolt row adjacent(or not) to stiffener
- Inner bolt row adjacent(or not) to stiffener. First/last bolt row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E755-E094-4921-B07C-6355F121984D}">
  <dimension ref="B2:O316"/>
  <sheetViews>
    <sheetView tabSelected="1" topLeftCell="A73" workbookViewId="0">
      <selection activeCell="D103" sqref="D103"/>
    </sheetView>
  </sheetViews>
  <sheetFormatPr baseColWidth="10" defaultRowHeight="15" x14ac:dyDescent="0.25"/>
  <cols>
    <col min="2" max="2" width="44" customWidth="1"/>
    <col min="3" max="3" width="23.28515625" bestFit="1" customWidth="1"/>
    <col min="4" max="4" width="15.42578125" bestFit="1" customWidth="1"/>
    <col min="5" max="5" width="13.28515625" bestFit="1" customWidth="1"/>
    <col min="8" max="8" width="3.7109375" bestFit="1" customWidth="1"/>
    <col min="9" max="9" width="10.140625" bestFit="1" customWidth="1"/>
    <col min="10" max="10" width="13.85546875" customWidth="1"/>
    <col min="11" max="11" width="6.42578125" bestFit="1" customWidth="1"/>
    <col min="13" max="14" width="15.5703125" bestFit="1" customWidth="1"/>
  </cols>
  <sheetData>
    <row r="2" spans="2:14" x14ac:dyDescent="0.25">
      <c r="B2" t="s">
        <v>51</v>
      </c>
    </row>
    <row r="4" spans="2:14" x14ac:dyDescent="0.25">
      <c r="C4" s="8" t="s">
        <v>55</v>
      </c>
      <c r="D4" s="1">
        <f>1</f>
        <v>1</v>
      </c>
      <c r="J4" s="3" t="s">
        <v>32</v>
      </c>
      <c r="K4" s="3"/>
      <c r="L4" s="3">
        <v>1</v>
      </c>
      <c r="M4" s="3">
        <v>2</v>
      </c>
      <c r="N4" s="3">
        <v>3</v>
      </c>
    </row>
    <row r="5" spans="2:14" x14ac:dyDescent="0.25">
      <c r="C5" s="8" t="s">
        <v>56</v>
      </c>
      <c r="D5" s="1">
        <v>1.1000000000000001</v>
      </c>
      <c r="H5" s="19" t="s">
        <v>95</v>
      </c>
      <c r="J5" s="8" t="s">
        <v>70</v>
      </c>
      <c r="L5" s="9">
        <f>IF($D$14=TRUE, MIN(MAX(4+1.67*$D$56/$D$58*($D$58/$D$60)^0.67, 4+1.25*$D$56/$D$58),8), "-")</f>
        <v>6.009646302250804</v>
      </c>
      <c r="M5" s="9" t="s">
        <v>164</v>
      </c>
      <c r="N5" s="9">
        <f t="shared" ref="N5" si="0">IF($D$14=TRUE, MIN(MAX(4+1.67*$D$56/$D$58*($D$58/$D$60)^0.67, 4+1.25*$D$56/$D$58),8), "-")</f>
        <v>6.009646302250804</v>
      </c>
    </row>
    <row r="6" spans="2:14" x14ac:dyDescent="0.25">
      <c r="C6" s="8" t="s">
        <v>57</v>
      </c>
      <c r="D6" s="1">
        <v>1.25</v>
      </c>
      <c r="H6" s="19"/>
      <c r="I6" s="20" t="s">
        <v>74</v>
      </c>
      <c r="J6" t="s">
        <v>68</v>
      </c>
      <c r="K6" t="s">
        <v>11</v>
      </c>
      <c r="L6" s="4">
        <f>2*PI()*$D$58</f>
        <v>195.40706305328513</v>
      </c>
      <c r="M6" s="4">
        <f>2*PI()*D58</f>
        <v>195.40706305328513</v>
      </c>
      <c r="N6" s="4">
        <f>2*PI()*$D$58</f>
        <v>195.40706305328513</v>
      </c>
    </row>
    <row r="7" spans="2:14" x14ac:dyDescent="0.25">
      <c r="C7" t="s">
        <v>60</v>
      </c>
      <c r="D7" s="1">
        <v>1</v>
      </c>
      <c r="H7" s="19"/>
      <c r="I7" s="20"/>
      <c r="J7" t="s">
        <v>69</v>
      </c>
      <c r="K7" t="s">
        <v>11</v>
      </c>
      <c r="L7" s="4">
        <f>IF($D$14=TRUE, L5*$D$58, 4 * $D$58 + 1.25*$D$56)</f>
        <v>186.9</v>
      </c>
      <c r="M7" s="4">
        <f>4*D58 + 1.25*D56</f>
        <v>186.9</v>
      </c>
      <c r="N7" s="4">
        <f>IF($D$14=TRUE, N5*$D$58, 4 * $D$58 + 1.25*$D$56)</f>
        <v>186.9</v>
      </c>
    </row>
    <row r="8" spans="2:14" x14ac:dyDescent="0.25">
      <c r="C8" t="s">
        <v>108</v>
      </c>
      <c r="D8" s="1">
        <v>1</v>
      </c>
      <c r="H8" s="19"/>
      <c r="I8" s="20"/>
      <c r="J8" t="s">
        <v>71</v>
      </c>
      <c r="K8" t="s">
        <v>11</v>
      </c>
      <c r="L8" s="4">
        <f>MIN(L6:L7)</f>
        <v>186.9</v>
      </c>
      <c r="M8" s="4">
        <f t="shared" ref="M8:N8" si="1">MIN(M6:M7)</f>
        <v>186.9</v>
      </c>
      <c r="N8" s="4">
        <f t="shared" si="1"/>
        <v>186.9</v>
      </c>
    </row>
    <row r="9" spans="2:14" x14ac:dyDescent="0.25">
      <c r="B9" t="s">
        <v>42</v>
      </c>
      <c r="C9" t="s">
        <v>4</v>
      </c>
      <c r="D9" s="1">
        <v>16</v>
      </c>
      <c r="E9" t="s">
        <v>11</v>
      </c>
      <c r="H9" s="19"/>
      <c r="I9" s="20"/>
      <c r="J9" t="s">
        <v>72</v>
      </c>
      <c r="K9" t="s">
        <v>11</v>
      </c>
      <c r="L9" s="4">
        <f>L7</f>
        <v>186.9</v>
      </c>
      <c r="M9" s="4">
        <f t="shared" ref="M9:N9" si="2">M7</f>
        <v>186.9</v>
      </c>
      <c r="N9" s="4">
        <f t="shared" si="2"/>
        <v>186.9</v>
      </c>
    </row>
    <row r="10" spans="2:14" x14ac:dyDescent="0.25">
      <c r="B10" t="s">
        <v>22</v>
      </c>
      <c r="C10" t="s">
        <v>6</v>
      </c>
      <c r="D10" s="1">
        <v>135</v>
      </c>
      <c r="E10" t="s">
        <v>11</v>
      </c>
      <c r="H10" s="19"/>
    </row>
    <row r="11" spans="2:14" x14ac:dyDescent="0.25">
      <c r="B11" t="s">
        <v>21</v>
      </c>
      <c r="C11" t="s">
        <v>5</v>
      </c>
      <c r="D11" s="1">
        <v>40</v>
      </c>
      <c r="E11" t="s">
        <v>11</v>
      </c>
      <c r="H11" s="19"/>
      <c r="I11" s="20" t="s">
        <v>73</v>
      </c>
      <c r="J11" t="s">
        <v>68</v>
      </c>
      <c r="K11" t="s">
        <v>11</v>
      </c>
      <c r="L11" s="4">
        <f>IF($D$14=TRUE, PI()*D58 + D10, PI()*D58 + D10)</f>
        <v>232.70353152664256</v>
      </c>
      <c r="M11" s="4">
        <f>2*D10</f>
        <v>270</v>
      </c>
      <c r="N11" s="4">
        <f>IF($D$14=TRUE, PI()*D58 + D10, PI()*D58 + D10)</f>
        <v>232.70353152664256</v>
      </c>
    </row>
    <row r="12" spans="2:14" x14ac:dyDescent="0.25">
      <c r="B12" t="s">
        <v>20</v>
      </c>
      <c r="C12" t="s">
        <v>50</v>
      </c>
      <c r="D12" s="1">
        <v>0</v>
      </c>
      <c r="E12" t="s">
        <v>11</v>
      </c>
      <c r="F12" t="s">
        <v>47</v>
      </c>
      <c r="H12" s="19"/>
      <c r="I12" s="20"/>
      <c r="J12" t="s">
        <v>69</v>
      </c>
      <c r="K12" t="s">
        <v>11</v>
      </c>
      <c r="L12" s="4">
        <f>IF($D$14=TRUE, 0.5*D10 + L5*D58 - (2*D58 + 0.625*D56),  2*D58 + 0.625*D56 + 0.5*D10)</f>
        <v>160.94999999999999</v>
      </c>
      <c r="M12" s="4">
        <f>D10</f>
        <v>135</v>
      </c>
      <c r="N12" s="4">
        <f>IF($D$14=TRUE, 0.5*D10 + L5*D58 - (2*D58 + 0.625*D56),  2*D58 + 0.625*D56 + 0.5*D10)</f>
        <v>160.94999999999999</v>
      </c>
    </row>
    <row r="13" spans="2:14" x14ac:dyDescent="0.25">
      <c r="B13" t="s">
        <v>46</v>
      </c>
      <c r="C13" t="s">
        <v>50</v>
      </c>
      <c r="D13" s="1">
        <v>0</v>
      </c>
      <c r="E13" t="s">
        <v>11</v>
      </c>
      <c r="F13" t="s">
        <v>47</v>
      </c>
      <c r="H13" s="19"/>
      <c r="I13" s="20"/>
      <c r="J13" t="s">
        <v>71</v>
      </c>
      <c r="K13" t="s">
        <v>11</v>
      </c>
      <c r="L13" s="4">
        <f>MIN(L11:L12)</f>
        <v>160.94999999999999</v>
      </c>
      <c r="M13" s="4">
        <f t="shared" ref="M13" si="3">MIN(M11:M12)</f>
        <v>135</v>
      </c>
      <c r="N13" s="4">
        <f t="shared" ref="N13" si="4">MIN(N11:N12)</f>
        <v>160.94999999999999</v>
      </c>
    </row>
    <row r="14" spans="2:14" x14ac:dyDescent="0.25">
      <c r="B14" t="s">
        <v>49</v>
      </c>
      <c r="D14" s="2" t="b">
        <v>1</v>
      </c>
      <c r="H14" s="19"/>
      <c r="I14" s="20"/>
      <c r="J14" t="s">
        <v>72</v>
      </c>
      <c r="K14" t="s">
        <v>11</v>
      </c>
      <c r="L14" s="4">
        <f>L12</f>
        <v>160.94999999999999</v>
      </c>
      <c r="M14" s="4">
        <f t="shared" ref="M14:N14" si="5">M12</f>
        <v>135</v>
      </c>
      <c r="N14" s="4">
        <f t="shared" si="5"/>
        <v>160.94999999999999</v>
      </c>
    </row>
    <row r="15" spans="2:14" x14ac:dyDescent="0.25">
      <c r="B15" t="s">
        <v>19</v>
      </c>
      <c r="C15" t="s">
        <v>7</v>
      </c>
      <c r="D15" s="1">
        <v>14</v>
      </c>
      <c r="E15" t="s">
        <v>11</v>
      </c>
      <c r="L15" s="4"/>
      <c r="M15" s="4"/>
      <c r="N15" s="4"/>
    </row>
    <row r="16" spans="2:14" x14ac:dyDescent="0.25">
      <c r="B16" t="s">
        <v>17</v>
      </c>
      <c r="C16" t="s">
        <v>8</v>
      </c>
      <c r="D16" s="1">
        <v>393</v>
      </c>
      <c r="E16" t="s">
        <v>11</v>
      </c>
      <c r="H16" s="19" t="s">
        <v>96</v>
      </c>
      <c r="J16" s="8" t="s">
        <v>70</v>
      </c>
      <c r="L16" s="9">
        <f>4+1.67*$D$11/$D$59*($D$59/$D$61)^0.67</f>
        <v>5.3492526291244502</v>
      </c>
      <c r="M16" s="9" t="s">
        <v>164</v>
      </c>
      <c r="N16" s="9" t="s">
        <v>164</v>
      </c>
    </row>
    <row r="17" spans="2:14" x14ac:dyDescent="0.25">
      <c r="B17" t="s">
        <v>18</v>
      </c>
      <c r="C17" t="s">
        <v>9</v>
      </c>
      <c r="D17" s="1">
        <v>0</v>
      </c>
      <c r="E17" t="s">
        <v>11</v>
      </c>
      <c r="H17" s="19"/>
      <c r="I17" s="20" t="s">
        <v>74</v>
      </c>
      <c r="J17" t="s">
        <v>68</v>
      </c>
      <c r="K17" t="s">
        <v>11</v>
      </c>
      <c r="L17" s="4">
        <f>2*PI()*$D$59</f>
        <v>287.14156853810709</v>
      </c>
      <c r="M17" s="4">
        <f>2*PI()*D59</f>
        <v>287.14156853810709</v>
      </c>
      <c r="N17" s="4">
        <f>2*PI()*$D$59</f>
        <v>287.14156853810709</v>
      </c>
    </row>
    <row r="18" spans="2:14" x14ac:dyDescent="0.25">
      <c r="B18" t="s">
        <v>12</v>
      </c>
      <c r="C18" t="s">
        <v>10</v>
      </c>
      <c r="D18" s="1">
        <v>0</v>
      </c>
      <c r="E18" t="s">
        <v>11</v>
      </c>
      <c r="F18" t="s">
        <v>135</v>
      </c>
      <c r="H18" s="19"/>
      <c r="I18" s="20"/>
      <c r="J18" t="s">
        <v>69</v>
      </c>
      <c r="K18" t="s">
        <v>11</v>
      </c>
      <c r="L18" s="4">
        <f>L16*$D$59</f>
        <v>244.46084515098738</v>
      </c>
      <c r="M18" s="4">
        <f>4*D59 + 1.25*D11</f>
        <v>232.8</v>
      </c>
      <c r="N18" s="4">
        <f>4*D59+1.25*D11</f>
        <v>232.8</v>
      </c>
    </row>
    <row r="19" spans="2:14" x14ac:dyDescent="0.25">
      <c r="B19" t="s">
        <v>136</v>
      </c>
      <c r="C19" t="s">
        <v>137</v>
      </c>
      <c r="D19" s="1">
        <v>0</v>
      </c>
      <c r="F19" t="s">
        <v>138</v>
      </c>
      <c r="H19" s="19"/>
      <c r="I19" s="20"/>
      <c r="J19" t="s">
        <v>71</v>
      </c>
      <c r="K19" t="s">
        <v>11</v>
      </c>
      <c r="L19" s="4">
        <f>MIN(L17:L18)</f>
        <v>244.46084515098738</v>
      </c>
      <c r="M19" s="4">
        <f t="shared" ref="M19" si="6">MIN(M17:M18)</f>
        <v>232.8</v>
      </c>
      <c r="N19" s="4">
        <f t="shared" ref="N19" si="7">MIN(N17:N18)</f>
        <v>232.8</v>
      </c>
    </row>
    <row r="20" spans="2:14" x14ac:dyDescent="0.25">
      <c r="B20" t="s">
        <v>64</v>
      </c>
      <c r="C20" t="s">
        <v>65</v>
      </c>
      <c r="D20" s="1">
        <v>0</v>
      </c>
      <c r="E20" t="s">
        <v>11</v>
      </c>
      <c r="H20" s="19"/>
      <c r="I20" s="20"/>
      <c r="J20" t="s">
        <v>72</v>
      </c>
      <c r="K20" t="s">
        <v>11</v>
      </c>
      <c r="L20" s="4">
        <f>L18</f>
        <v>244.46084515098738</v>
      </c>
      <c r="M20" s="4">
        <f t="shared" ref="M20:N20" si="8">M18</f>
        <v>232.8</v>
      </c>
      <c r="N20" s="4">
        <f t="shared" si="8"/>
        <v>232.8</v>
      </c>
    </row>
    <row r="21" spans="2:14" x14ac:dyDescent="0.25">
      <c r="C21" t="s">
        <v>93</v>
      </c>
      <c r="D21" s="1">
        <v>24</v>
      </c>
      <c r="E21" t="s">
        <v>11</v>
      </c>
      <c r="H21" s="19"/>
    </row>
    <row r="22" spans="2:14" x14ac:dyDescent="0.25">
      <c r="C22" t="s">
        <v>92</v>
      </c>
      <c r="D22" s="1">
        <v>317750</v>
      </c>
      <c r="E22" t="s">
        <v>77</v>
      </c>
      <c r="H22" s="19"/>
      <c r="I22" s="20" t="s">
        <v>73</v>
      </c>
      <c r="J22" t="s">
        <v>68</v>
      </c>
      <c r="K22" t="s">
        <v>11</v>
      </c>
      <c r="L22" s="4">
        <f>PI()*D59 + D10</f>
        <v>278.57078426905355</v>
      </c>
      <c r="M22" s="4">
        <f>2*D10</f>
        <v>270</v>
      </c>
      <c r="N22" s="4">
        <f xml:space="preserve"> PI()*D59 + D10</f>
        <v>278.57078426905355</v>
      </c>
    </row>
    <row r="23" spans="2:14" x14ac:dyDescent="0.25">
      <c r="C23" t="s">
        <v>87</v>
      </c>
      <c r="D23" s="1">
        <v>44</v>
      </c>
      <c r="E23" t="s">
        <v>11</v>
      </c>
      <c r="H23" s="19"/>
      <c r="I23" s="20"/>
      <c r="J23" t="s">
        <v>69</v>
      </c>
      <c r="K23" t="s">
        <v>11</v>
      </c>
      <c r="L23" s="4">
        <f>0.5*D10 + L16*D59 - (2*D59 + 0.625*D11)</f>
        <v>195.56084515098738</v>
      </c>
      <c r="M23" s="4">
        <f>D10</f>
        <v>135</v>
      </c>
      <c r="N23" s="4">
        <f>2*D59+0.625*D11+0.5*D10</f>
        <v>183.9</v>
      </c>
    </row>
    <row r="24" spans="2:14" x14ac:dyDescent="0.25">
      <c r="C24" t="s">
        <v>41</v>
      </c>
      <c r="D24" s="1">
        <v>4</v>
      </c>
      <c r="E24" t="s">
        <v>11</v>
      </c>
      <c r="H24" s="19"/>
      <c r="I24" s="20"/>
      <c r="J24" t="s">
        <v>71</v>
      </c>
      <c r="K24" t="s">
        <v>11</v>
      </c>
      <c r="L24" s="4">
        <f>MIN(L22:L23)</f>
        <v>195.56084515098738</v>
      </c>
      <c r="M24" s="4">
        <f t="shared" ref="M24" si="9">MIN(M22:M23)</f>
        <v>135</v>
      </c>
      <c r="N24" s="4">
        <f t="shared" ref="N24" si="10">MIN(N22:N23)</f>
        <v>183.9</v>
      </c>
    </row>
    <row r="25" spans="2:14" x14ac:dyDescent="0.25">
      <c r="C25" t="s">
        <v>94</v>
      </c>
      <c r="D25" s="1">
        <v>2</v>
      </c>
      <c r="H25" s="19"/>
      <c r="I25" s="20"/>
      <c r="J25" t="s">
        <v>72</v>
      </c>
      <c r="K25" t="s">
        <v>11</v>
      </c>
      <c r="L25" s="4">
        <f>L23</f>
        <v>195.56084515098738</v>
      </c>
      <c r="M25" s="4">
        <f t="shared" ref="M25" si="11">M23</f>
        <v>135</v>
      </c>
      <c r="N25" s="4">
        <f>N23</f>
        <v>183.9</v>
      </c>
    </row>
    <row r="26" spans="2:14" x14ac:dyDescent="0.25">
      <c r="C26" t="s">
        <v>48</v>
      </c>
      <c r="D26" s="1">
        <v>3</v>
      </c>
      <c r="H26" s="12"/>
      <c r="I26" s="10"/>
      <c r="L26" s="4"/>
      <c r="M26" s="4"/>
      <c r="N26" s="4"/>
    </row>
    <row r="27" spans="2:14" x14ac:dyDescent="0.25">
      <c r="C27" t="s">
        <v>102</v>
      </c>
      <c r="D27" s="1">
        <v>235</v>
      </c>
      <c r="E27" s="14" t="s">
        <v>23</v>
      </c>
      <c r="H27" s="12"/>
      <c r="I27" s="10"/>
      <c r="L27" s="4"/>
      <c r="M27" s="4"/>
      <c r="N27" s="4"/>
    </row>
    <row r="28" spans="2:14" x14ac:dyDescent="0.25">
      <c r="B28" t="s">
        <v>121</v>
      </c>
      <c r="C28" t="s">
        <v>120</v>
      </c>
      <c r="D28" s="1">
        <v>1</v>
      </c>
      <c r="H28" s="12"/>
      <c r="I28" s="10"/>
      <c r="L28" s="4"/>
      <c r="M28" s="4"/>
      <c r="N28" s="4"/>
    </row>
    <row r="29" spans="2:14" x14ac:dyDescent="0.25">
      <c r="B29" t="s">
        <v>123</v>
      </c>
      <c r="C29" t="s">
        <v>122</v>
      </c>
      <c r="D29" s="1">
        <v>210000</v>
      </c>
      <c r="E29" t="s">
        <v>23</v>
      </c>
      <c r="H29" s="12"/>
      <c r="I29" s="10"/>
      <c r="L29" s="4"/>
      <c r="M29" s="4"/>
      <c r="N29" s="4"/>
    </row>
    <row r="30" spans="2:14" x14ac:dyDescent="0.25">
      <c r="L30" s="4"/>
      <c r="M30" s="4"/>
      <c r="N30" s="4"/>
    </row>
    <row r="31" spans="2:14" x14ac:dyDescent="0.25">
      <c r="L31" s="4"/>
      <c r="M31" s="4"/>
      <c r="N31" s="4"/>
    </row>
    <row r="33" spans="2:15" x14ac:dyDescent="0.25">
      <c r="D33" s="3" t="s">
        <v>0</v>
      </c>
      <c r="E33" s="3" t="s">
        <v>1</v>
      </c>
    </row>
    <row r="34" spans="2:15" x14ac:dyDescent="0.25">
      <c r="D34" s="2" t="s">
        <v>31</v>
      </c>
      <c r="E34" s="2" t="s">
        <v>30</v>
      </c>
    </row>
    <row r="35" spans="2:15" x14ac:dyDescent="0.25">
      <c r="B35" t="s">
        <v>24</v>
      </c>
      <c r="C35" t="s">
        <v>2</v>
      </c>
      <c r="D35" s="1">
        <v>235</v>
      </c>
      <c r="E35" s="1">
        <v>235</v>
      </c>
      <c r="F35" t="s">
        <v>23</v>
      </c>
      <c r="J35" s="3" t="s">
        <v>32</v>
      </c>
      <c r="K35" s="3"/>
      <c r="L35" s="3">
        <v>1</v>
      </c>
      <c r="M35" s="3">
        <v>2</v>
      </c>
      <c r="N35" s="3">
        <v>3</v>
      </c>
    </row>
    <row r="36" spans="2:15" x14ac:dyDescent="0.25">
      <c r="B36" t="s">
        <v>25</v>
      </c>
      <c r="C36" t="s">
        <v>3</v>
      </c>
      <c r="D36" s="1">
        <v>235</v>
      </c>
      <c r="E36" s="1">
        <v>235</v>
      </c>
      <c r="F36" t="s">
        <v>23</v>
      </c>
      <c r="H36" s="19" t="s">
        <v>95</v>
      </c>
      <c r="I36" s="20" t="s">
        <v>74</v>
      </c>
      <c r="J36" t="s">
        <v>81</v>
      </c>
      <c r="K36" t="s">
        <v>76</v>
      </c>
      <c r="L36">
        <f>$D$81*L8</f>
        <v>2470584.375</v>
      </c>
      <c r="M36">
        <f t="shared" ref="L36:N37" si="12">$D$81*M8</f>
        <v>2470584.375</v>
      </c>
      <c r="N36">
        <f t="shared" si="12"/>
        <v>2470584.375</v>
      </c>
    </row>
    <row r="37" spans="2:15" x14ac:dyDescent="0.25">
      <c r="B37" t="s">
        <v>26</v>
      </c>
      <c r="C37" t="s">
        <v>13</v>
      </c>
      <c r="D37" s="1">
        <v>200</v>
      </c>
      <c r="E37" s="1">
        <v>400</v>
      </c>
      <c r="F37" t="s">
        <v>11</v>
      </c>
      <c r="H37" s="19"/>
      <c r="I37" s="20"/>
      <c r="J37" t="s">
        <v>82</v>
      </c>
      <c r="K37" t="s">
        <v>76</v>
      </c>
      <c r="L37">
        <f t="shared" si="12"/>
        <v>2470584.375</v>
      </c>
      <c r="M37">
        <f t="shared" si="12"/>
        <v>2470584.375</v>
      </c>
      <c r="N37">
        <f t="shared" si="12"/>
        <v>2470584.375</v>
      </c>
    </row>
    <row r="38" spans="2:15" x14ac:dyDescent="0.25">
      <c r="B38" t="s">
        <v>27</v>
      </c>
      <c r="C38" t="s">
        <v>14</v>
      </c>
      <c r="D38" s="1">
        <v>200</v>
      </c>
      <c r="E38" s="1">
        <v>180</v>
      </c>
      <c r="F38" t="s">
        <v>11</v>
      </c>
      <c r="H38" s="19"/>
      <c r="I38" s="20"/>
      <c r="J38" t="s">
        <v>89</v>
      </c>
      <c r="K38" t="s">
        <v>76</v>
      </c>
      <c r="L38">
        <f>$D$83*L13</f>
        <v>0</v>
      </c>
      <c r="M38">
        <f>$D$83*M13</f>
        <v>0</v>
      </c>
      <c r="N38">
        <f>$D$83*N13</f>
        <v>0</v>
      </c>
    </row>
    <row r="39" spans="2:15" x14ac:dyDescent="0.25">
      <c r="B39" t="s">
        <v>29</v>
      </c>
      <c r="C39" t="s">
        <v>16</v>
      </c>
      <c r="D39" s="1">
        <v>9</v>
      </c>
      <c r="E39" s="1">
        <v>8.6</v>
      </c>
      <c r="F39" t="s">
        <v>11</v>
      </c>
      <c r="H39" s="19"/>
      <c r="I39" s="20"/>
      <c r="J39" t="s">
        <v>80</v>
      </c>
      <c r="K39" t="s">
        <v>77</v>
      </c>
      <c r="L39">
        <f>((8*$D$63 - 2*$D$65)*L36 + 4*$D$63*L38) / (2*$D$58*$D$63 - $D$65*($D$58+$D$63))</f>
        <v>433172.89593823935</v>
      </c>
      <c r="M39">
        <f>((8*$D$63 - 2*$D$65)*M36 + 4*$D$63*M38) / (2*$D$58*$D$63 - $D$65*($D$58+$D$63))</f>
        <v>433172.89593823935</v>
      </c>
      <c r="N39">
        <f>((8*$D$63 - 2*$D$65)*N36 + 4*$D$63*N38) / (2*$D$58*$D$63 - $D$65*($D$58+$D$63))</f>
        <v>433172.89593823935</v>
      </c>
      <c r="O39" t="s">
        <v>78</v>
      </c>
    </row>
    <row r="40" spans="2:15" x14ac:dyDescent="0.25">
      <c r="B40" t="s">
        <v>28</v>
      </c>
      <c r="C40" t="s">
        <v>15</v>
      </c>
      <c r="D40" s="1">
        <v>15</v>
      </c>
      <c r="E40" s="1">
        <v>13.5</v>
      </c>
      <c r="F40" t="s">
        <v>11</v>
      </c>
      <c r="H40" s="19"/>
      <c r="I40" s="20"/>
      <c r="J40" t="s">
        <v>83</v>
      </c>
      <c r="K40" t="s">
        <v>77</v>
      </c>
      <c r="L40">
        <f>(2*L37 + $D$63*L$79) / ($D$58+$D$63)</f>
        <v>353057.78849589144</v>
      </c>
      <c r="M40">
        <f>(2*M37 + $D$63*M$79) / ($D$58+$D$63)</f>
        <v>353057.78849589144</v>
      </c>
      <c r="N40">
        <f>(2*N37 + $D$63*N$79) / ($D$58+$D$63)</f>
        <v>353057.78849589144</v>
      </c>
    </row>
    <row r="41" spans="2:15" x14ac:dyDescent="0.25">
      <c r="B41" t="s">
        <v>44</v>
      </c>
      <c r="C41" t="s">
        <v>45</v>
      </c>
      <c r="D41" s="1">
        <v>18</v>
      </c>
      <c r="E41" s="1">
        <v>18</v>
      </c>
      <c r="F41" t="s">
        <v>11</v>
      </c>
      <c r="H41" s="19"/>
    </row>
    <row r="42" spans="2:15" x14ac:dyDescent="0.25">
      <c r="C42" t="s">
        <v>61</v>
      </c>
      <c r="D42" s="1">
        <v>2483</v>
      </c>
      <c r="E42" s="1"/>
      <c r="F42" t="s">
        <v>62</v>
      </c>
      <c r="H42" s="19"/>
      <c r="I42" s="20" t="s">
        <v>73</v>
      </c>
      <c r="J42" t="s">
        <v>81</v>
      </c>
      <c r="K42" t="s">
        <v>76</v>
      </c>
      <c r="L42">
        <f t="shared" ref="L42:N43" si="13">$D$81*L13</f>
        <v>2127557.8125</v>
      </c>
      <c r="M42">
        <f t="shared" si="13"/>
        <v>1784531.25</v>
      </c>
      <c r="N42">
        <f t="shared" si="13"/>
        <v>2127557.8125</v>
      </c>
    </row>
    <row r="43" spans="2:15" x14ac:dyDescent="0.25">
      <c r="C43" t="s">
        <v>126</v>
      </c>
      <c r="E43" s="1">
        <v>1307000</v>
      </c>
      <c r="F43" t="s">
        <v>127</v>
      </c>
      <c r="H43" s="19"/>
      <c r="I43" s="20"/>
      <c r="J43" t="s">
        <v>82</v>
      </c>
      <c r="K43" t="s">
        <v>76</v>
      </c>
      <c r="L43">
        <f t="shared" si="13"/>
        <v>2127557.8125</v>
      </c>
      <c r="M43">
        <f t="shared" si="13"/>
        <v>1784531.25</v>
      </c>
      <c r="N43">
        <f t="shared" si="13"/>
        <v>2127557.8125</v>
      </c>
    </row>
    <row r="44" spans="2:15" x14ac:dyDescent="0.25">
      <c r="D44" s="1"/>
      <c r="E44" s="1"/>
      <c r="H44" s="19"/>
      <c r="I44" s="20"/>
      <c r="J44" t="s">
        <v>89</v>
      </c>
      <c r="K44" t="s">
        <v>76</v>
      </c>
      <c r="L44">
        <f>$D$83*L13</f>
        <v>0</v>
      </c>
      <c r="M44">
        <f>$D$83*M13</f>
        <v>0</v>
      </c>
      <c r="N44">
        <f>$D$83*N13</f>
        <v>0</v>
      </c>
    </row>
    <row r="45" spans="2:15" x14ac:dyDescent="0.25">
      <c r="C45" t="s">
        <v>149</v>
      </c>
      <c r="D45" s="4">
        <f>D37-2*D40</f>
        <v>170</v>
      </c>
      <c r="E45" s="1"/>
      <c r="H45" s="19"/>
      <c r="I45" s="20"/>
      <c r="J45" t="s">
        <v>80</v>
      </c>
      <c r="K45" t="s">
        <v>77</v>
      </c>
      <c r="L45">
        <f>((8*$D$63 - 2*$D$65)*L42 + 4*$D$63*L44) / (2*$D$58*$D$63 - $D$65*($D$58+$D$63))</f>
        <v>373029.30765788991</v>
      </c>
      <c r="M45">
        <f>((8*$D$63 - 2*$D$65)*M42 + 4*$D$63*M44) / (2*$D$58*$D$63 - $D$65*($D$58+$D$63))</f>
        <v>312885.71937754046</v>
      </c>
      <c r="N45">
        <f>((8*$D$63 - 2*$D$65)*N42 + 4*$D$63*N44) / (2*$D$58*$D$63 - $D$65*($D$58+$D$63))</f>
        <v>373029.30765788991</v>
      </c>
      <c r="O45" t="s">
        <v>78</v>
      </c>
    </row>
    <row r="46" spans="2:15" x14ac:dyDescent="0.25">
      <c r="C46" s="8" t="s">
        <v>58</v>
      </c>
      <c r="D46" s="4">
        <f>$D$7*D35</f>
        <v>235</v>
      </c>
      <c r="E46" s="4">
        <f>$D$7*E35</f>
        <v>235</v>
      </c>
      <c r="F46" t="s">
        <v>23</v>
      </c>
      <c r="H46" s="19"/>
      <c r="I46" s="20"/>
      <c r="J46" t="s">
        <v>83</v>
      </c>
      <c r="K46" t="s">
        <v>77</v>
      </c>
      <c r="L46">
        <f>(2*L43 + $D$63*L$79) / ($D$58+$D$63)</f>
        <v>343253.52804573067</v>
      </c>
      <c r="M46">
        <f>(2*M43 + $D$63*M$79) / ($D$58+$D$63)</f>
        <v>333449.26759556989</v>
      </c>
      <c r="N46">
        <f>(2*N43 + $D$63*N$79) / ($D$58+$D$63)</f>
        <v>343253.52804573067</v>
      </c>
    </row>
    <row r="47" spans="2:15" x14ac:dyDescent="0.25">
      <c r="C47" s="8" t="s">
        <v>59</v>
      </c>
      <c r="D47" s="4">
        <f>$D$7*D36</f>
        <v>235</v>
      </c>
      <c r="E47" s="4">
        <f>$D$7*E36</f>
        <v>235</v>
      </c>
      <c r="F47" t="s">
        <v>23</v>
      </c>
    </row>
    <row r="48" spans="2:15" ht="15" customHeight="1" x14ac:dyDescent="0.25">
      <c r="C48" t="s">
        <v>66</v>
      </c>
      <c r="D48" s="4">
        <f>D37 - 2*D41 - 2*D40</f>
        <v>134</v>
      </c>
      <c r="E48" s="1"/>
      <c r="F48" t="s">
        <v>11</v>
      </c>
      <c r="H48" s="19" t="s">
        <v>96</v>
      </c>
      <c r="I48" s="20" t="s">
        <v>74</v>
      </c>
      <c r="J48" t="s">
        <v>98</v>
      </c>
      <c r="K48" t="s">
        <v>76</v>
      </c>
      <c r="L48" s="5">
        <f t="shared" ref="L48:N49" si="14">$D$82*L19</f>
        <v>3676691.1110708504</v>
      </c>
      <c r="M48" s="5">
        <f t="shared" si="14"/>
        <v>3501312</v>
      </c>
      <c r="N48" s="5">
        <f t="shared" si="14"/>
        <v>3501312</v>
      </c>
    </row>
    <row r="49" spans="2:15" x14ac:dyDescent="0.25">
      <c r="B49" t="s">
        <v>140</v>
      </c>
      <c r="C49" s="8" t="s">
        <v>134</v>
      </c>
      <c r="D49" s="4">
        <f>IF(D20&gt;0, IF(D35&gt;=420, 1.3*D39, 1.4*D39),D39)</f>
        <v>9</v>
      </c>
      <c r="E49" s="4"/>
      <c r="H49" s="19"/>
      <c r="I49" s="20"/>
      <c r="J49" t="s">
        <v>99</v>
      </c>
      <c r="K49" t="s">
        <v>76</v>
      </c>
      <c r="L49">
        <f t="shared" si="14"/>
        <v>3676691.1110708504</v>
      </c>
      <c r="M49" s="5">
        <f t="shared" si="14"/>
        <v>3501312</v>
      </c>
      <c r="N49" s="5">
        <f t="shared" si="14"/>
        <v>3501312</v>
      </c>
    </row>
    <row r="50" spans="2:15" x14ac:dyDescent="0.25">
      <c r="B50" t="s">
        <v>139</v>
      </c>
      <c r="C50" s="8" t="s">
        <v>133</v>
      </c>
      <c r="D50" s="4">
        <f>IF(D19=1, 1.5*D39,IF(D19=1, 2*D39, D39))</f>
        <v>9</v>
      </c>
      <c r="H50" s="19"/>
      <c r="I50" s="20"/>
      <c r="J50" t="s">
        <v>100</v>
      </c>
      <c r="K50" t="s">
        <v>77</v>
      </c>
      <c r="L50">
        <f>((8*$D$64 - 2*$D$65)*L48) / (2*$D$59*$D$64 - $D$65*($D$59+$D$64))</f>
        <v>403808.62827520486</v>
      </c>
      <c r="M50">
        <f>((8*$D$64 - 2*$D$65)*M48) / (2*$D$59*$D$64 - $D$65*($D$59+$D$64))</f>
        <v>384546.85290974088</v>
      </c>
      <c r="N50">
        <f>((8*$D$64 - 2*$D$65)*N48) / (2*$D$59*$D$64 - $D$65*($D$59+$D$64))</f>
        <v>384546.85290974088</v>
      </c>
      <c r="O50" t="s">
        <v>78</v>
      </c>
    </row>
    <row r="51" spans="2:15" x14ac:dyDescent="0.25">
      <c r="C51" s="8" t="s">
        <v>63</v>
      </c>
      <c r="D51" s="4">
        <f>D42 + D48*D18</f>
        <v>2483</v>
      </c>
      <c r="E51" s="4"/>
      <c r="F51" t="s">
        <v>62</v>
      </c>
      <c r="H51" s="19"/>
      <c r="I51" s="20"/>
      <c r="J51" t="s">
        <v>101</v>
      </c>
      <c r="K51" t="s">
        <v>77</v>
      </c>
      <c r="L51" s="5">
        <f>(2*L49 + $D$64*L$79) / ($D$59+$D$64)</f>
        <v>323096.64203199185</v>
      </c>
      <c r="M51" s="5">
        <f>(2*M49 + $D$64*M$79) / ($D$59+$D$64)</f>
        <v>319003.780630105</v>
      </c>
      <c r="N51" s="5">
        <f>(2*N49 + $D$64*N$79) / ($D$59+$D$64)</f>
        <v>319003.780630105</v>
      </c>
    </row>
    <row r="52" spans="2:15" x14ac:dyDescent="0.25">
      <c r="H52" s="19"/>
      <c r="I52" s="11"/>
    </row>
    <row r="53" spans="2:15" x14ac:dyDescent="0.25">
      <c r="C53" s="8" t="s">
        <v>103</v>
      </c>
      <c r="D53" s="4">
        <f>D7*D27</f>
        <v>235</v>
      </c>
      <c r="E53" s="14" t="s">
        <v>23</v>
      </c>
      <c r="H53" s="19"/>
      <c r="I53" s="20" t="s">
        <v>73</v>
      </c>
      <c r="J53" t="s">
        <v>98</v>
      </c>
      <c r="K53" t="s">
        <v>76</v>
      </c>
      <c r="L53">
        <f t="shared" ref="L53:N54" si="15">$D$82*L24</f>
        <v>2941235.1110708499</v>
      </c>
      <c r="M53">
        <f t="shared" si="15"/>
        <v>2030400</v>
      </c>
      <c r="N53">
        <f t="shared" si="15"/>
        <v>2765856</v>
      </c>
    </row>
    <row r="54" spans="2:15" x14ac:dyDescent="0.25">
      <c r="C54" t="s">
        <v>43</v>
      </c>
      <c r="D54" s="4">
        <f>E38</f>
        <v>180</v>
      </c>
      <c r="E54" t="s">
        <v>11</v>
      </c>
      <c r="H54" s="19"/>
      <c r="I54" s="20"/>
      <c r="J54" t="s">
        <v>99</v>
      </c>
      <c r="K54" t="s">
        <v>76</v>
      </c>
      <c r="L54">
        <f t="shared" si="15"/>
        <v>2941235.1110708499</v>
      </c>
      <c r="M54">
        <f t="shared" si="15"/>
        <v>2030400</v>
      </c>
      <c r="N54">
        <f t="shared" si="15"/>
        <v>2765856</v>
      </c>
    </row>
    <row r="55" spans="2:15" x14ac:dyDescent="0.25">
      <c r="C55" t="s">
        <v>33</v>
      </c>
      <c r="D55" s="4">
        <f>D54-2*D11</f>
        <v>100</v>
      </c>
      <c r="E55" t="s">
        <v>11</v>
      </c>
      <c r="H55" s="19"/>
      <c r="I55" s="20"/>
      <c r="J55" t="s">
        <v>100</v>
      </c>
      <c r="K55" t="s">
        <v>77</v>
      </c>
      <c r="L55">
        <f>((8*$D$64 - 2*$D$65)*L53) / (2*$D$59*$D$64 - $D$65*($D$59+$D$64))</f>
        <v>323033.96716143191</v>
      </c>
      <c r="M55">
        <f>((8*$D$64 - 2*$D$65)*M53) / (2*$D$59*$D$64 - $D$65*($D$59+$D$64))</f>
        <v>222997.53068219509</v>
      </c>
      <c r="N55">
        <f>((8*$D$64 - 2*$D$65)*N53) / (2*$D$59*$D$64 - $D$65*($D$59+$D$64))</f>
        <v>303772.19179596798</v>
      </c>
      <c r="O55" t="s">
        <v>78</v>
      </c>
    </row>
    <row r="56" spans="2:15" x14ac:dyDescent="0.25">
      <c r="C56" t="s">
        <v>34</v>
      </c>
      <c r="D56" s="4">
        <f>D38/2 - D55/2</f>
        <v>50</v>
      </c>
      <c r="E56" t="s">
        <v>11</v>
      </c>
      <c r="H56" s="19"/>
      <c r="I56" s="20"/>
      <c r="J56" t="s">
        <v>101</v>
      </c>
      <c r="K56" t="s">
        <v>77</v>
      </c>
      <c r="L56">
        <f>(2*L54 + $D$64*L$79) / ($D$59+$D$64)</f>
        <v>305933.14144856122</v>
      </c>
      <c r="M56">
        <f>(2*M54 + $D$64*M$79) / ($D$59+$D$64)</f>
        <v>284676.77946324385</v>
      </c>
      <c r="N56">
        <f>(2*N54 + $D$64*N$79) / ($D$59+$D$64)</f>
        <v>301840.28004667442</v>
      </c>
    </row>
    <row r="57" spans="2:15" x14ac:dyDescent="0.25">
      <c r="C57" t="s">
        <v>35</v>
      </c>
      <c r="D57" s="4">
        <f>MIN(D56,D11)</f>
        <v>40</v>
      </c>
      <c r="E57" t="s">
        <v>11</v>
      </c>
      <c r="H57" s="13"/>
      <c r="I57" s="11"/>
    </row>
    <row r="58" spans="2:15" x14ac:dyDescent="0.25">
      <c r="C58" t="s">
        <v>36</v>
      </c>
      <c r="D58" s="7">
        <f>(D55 - D39) / 2 - 0.8*D41</f>
        <v>31.1</v>
      </c>
      <c r="E58" t="s">
        <v>11</v>
      </c>
      <c r="H58" s="19" t="s">
        <v>116</v>
      </c>
      <c r="I58" s="3" t="s">
        <v>74</v>
      </c>
      <c r="J58" t="s">
        <v>113</v>
      </c>
      <c r="K58" t="s">
        <v>11</v>
      </c>
      <c r="L58">
        <f>MIN(L8:L9)</f>
        <v>186.9</v>
      </c>
      <c r="M58">
        <f t="shared" ref="M58:N58" si="16">MIN(M8:M9)</f>
        <v>186.9</v>
      </c>
      <c r="N58">
        <f t="shared" si="16"/>
        <v>186.9</v>
      </c>
    </row>
    <row r="59" spans="2:15" x14ac:dyDescent="0.25">
      <c r="C59" t="s">
        <v>37</v>
      </c>
      <c r="D59" s="7">
        <f>D55 / 2 - E39 / 2 - 0.8*SQRT(2)*D13</f>
        <v>45.7</v>
      </c>
      <c r="E59" t="s">
        <v>11</v>
      </c>
      <c r="H59" s="19"/>
      <c r="J59" s="8" t="s">
        <v>183</v>
      </c>
      <c r="L59">
        <f>IF($D$8&lt;=0.5, 1, IF($D$8&lt;1,L60+2*(1-$D$8)*(1-L60),IF($D$8=1, L60, IF($D$8&lt;2,L60+($D$8-1)*(L61-L60), L61))))</f>
        <v>0.79140723414453162</v>
      </c>
      <c r="M59">
        <f t="shared" ref="M59:N59" si="17">IF($D$8&lt;=0.5, 1, IF($D$8&lt;1,M60+2*(1-$D$8)*(1-M60),IF($D$8=1, M60, IF($D$8&lt;2,M60+($D$8-1)*(M61-M60), M61))))</f>
        <v>0.79140723414453162</v>
      </c>
      <c r="N59">
        <f t="shared" si="17"/>
        <v>0.79140723414453162</v>
      </c>
    </row>
    <row r="60" spans="2:15" x14ac:dyDescent="0.25">
      <c r="C60" t="s">
        <v>38</v>
      </c>
      <c r="D60" s="15">
        <f>IF(D14=TRUE, (((E37 - E40) - (D26-1)*D10) / 2) - D15/2 - 0.8*SQRT(2)*D17, 0)</f>
        <v>51.25</v>
      </c>
      <c r="E60" t="s">
        <v>11</v>
      </c>
      <c r="H60" s="19"/>
      <c r="J60" s="8" t="s">
        <v>181</v>
      </c>
      <c r="L60">
        <f>1 / SQRT(1 +1.3*(L$58*$D$39/$D$51)^2)</f>
        <v>0.79140723414453162</v>
      </c>
      <c r="M60">
        <f t="shared" ref="M60:N60" si="18">1 / SQRT(1 +1.3*(M$58*$D$39/$D$51)^2)</f>
        <v>0.79140723414453162</v>
      </c>
      <c r="N60">
        <f t="shared" si="18"/>
        <v>0.79140723414453162</v>
      </c>
    </row>
    <row r="61" spans="2:15" x14ac:dyDescent="0.25">
      <c r="C61" t="s">
        <v>39</v>
      </c>
      <c r="D61" s="4">
        <f>(E37-(D26-1)*D10)/2-E40-0.8*SQRT(2)*D12</f>
        <v>51.5</v>
      </c>
      <c r="E61" t="s">
        <v>11</v>
      </c>
      <c r="H61" s="19"/>
      <c r="J61" s="8" t="s">
        <v>182</v>
      </c>
      <c r="L61">
        <f>1 / SQRT(1 +5.2*(L$58*$D$39/$D$51)^2)</f>
        <v>0.54340952686123556</v>
      </c>
      <c r="M61">
        <f t="shared" ref="M61:N61" si="19">1 / SQRT(1 +5.2*(M$58*$D$39/$D$51)^2)</f>
        <v>0.54340952686123556</v>
      </c>
      <c r="N61">
        <f t="shared" si="19"/>
        <v>0.54340952686123556</v>
      </c>
    </row>
    <row r="62" spans="2:15" x14ac:dyDescent="0.25">
      <c r="C62" t="s">
        <v>40</v>
      </c>
      <c r="D62" s="4">
        <f>2*D24+D40+D9</f>
        <v>39</v>
      </c>
      <c r="E62" t="s">
        <v>11</v>
      </c>
      <c r="H62" s="19"/>
      <c r="J62" s="8"/>
    </row>
    <row r="63" spans="2:15" x14ac:dyDescent="0.25">
      <c r="C63" t="s">
        <v>90</v>
      </c>
      <c r="D63" s="4">
        <f>MIN(D57,1.25*D58)</f>
        <v>38.875</v>
      </c>
      <c r="E63" t="s">
        <v>11</v>
      </c>
      <c r="H63" s="19"/>
      <c r="I63" s="3" t="s">
        <v>73</v>
      </c>
      <c r="J63" t="s">
        <v>113</v>
      </c>
      <c r="K63" t="s">
        <v>11</v>
      </c>
      <c r="L63">
        <f>MIN(L13:L14)</f>
        <v>160.94999999999999</v>
      </c>
      <c r="M63">
        <f>MIN(M13:M14)</f>
        <v>135</v>
      </c>
      <c r="N63">
        <f>MIN(N13:N14)</f>
        <v>160.94999999999999</v>
      </c>
    </row>
    <row r="64" spans="2:15" x14ac:dyDescent="0.25">
      <c r="C64" t="s">
        <v>91</v>
      </c>
      <c r="D64" s="4">
        <f>MIN(D57,1.25*D59)</f>
        <v>40</v>
      </c>
      <c r="E64" t="s">
        <v>11</v>
      </c>
      <c r="H64" s="19"/>
      <c r="J64" s="8" t="s">
        <v>183</v>
      </c>
      <c r="L64">
        <f>IF($D$8&lt;=0.5, 1, IF($D$8&lt;1,L65+2*(1-$D$8)*(1-L65),IF($D$8=1, L65, IF($D$8&lt;2,L65+($D$8-1)*(L66-L65), L66))))</f>
        <v>0.83262747262514381</v>
      </c>
      <c r="M64">
        <f t="shared" ref="M64:N64" si="20">IF($D$8&lt;=0.5, 1, IF($D$8&lt;1,M65+2*(1-$D$8)*(1-M65),IF($D$8=1, M65, IF($D$8&lt;2,M65+($D$8-1)*(M66-M65), M66))))</f>
        <v>0.87327960945370586</v>
      </c>
      <c r="N64">
        <f t="shared" si="20"/>
        <v>0.83262747262514381</v>
      </c>
    </row>
    <row r="65" spans="2:15" x14ac:dyDescent="0.25">
      <c r="C65" t="s">
        <v>88</v>
      </c>
      <c r="D65" s="4">
        <f>D23/4</f>
        <v>11</v>
      </c>
      <c r="E65" t="s">
        <v>11</v>
      </c>
      <c r="H65" s="19"/>
      <c r="J65" s="8" t="s">
        <v>181</v>
      </c>
      <c r="L65">
        <f>1 / SQRT(1 +1.3*(L$63*$D$39/$D$51)^2)</f>
        <v>0.83262747262514381</v>
      </c>
      <c r="M65">
        <f t="shared" ref="M65:N65" si="21">1 / SQRT(1 +1.3*(M$63*$D$39/$D$51)^2)</f>
        <v>0.87327960945370586</v>
      </c>
      <c r="N65">
        <f t="shared" si="21"/>
        <v>0.83262747262514381</v>
      </c>
    </row>
    <row r="66" spans="2:15" x14ac:dyDescent="0.25">
      <c r="D66" s="4"/>
      <c r="H66" s="19"/>
      <c r="J66" s="8" t="s">
        <v>182</v>
      </c>
      <c r="L66">
        <f>1 / SQRT(1 +5.2*(L$63*$D$39/$D$51)^2)</f>
        <v>0.60086668940060428</v>
      </c>
      <c r="M66">
        <f t="shared" ref="M66:N66" si="22">1 / SQRT(1 +5.2*(M$63*$D$39/$D$51)^2)</f>
        <v>0.66739453582965858</v>
      </c>
      <c r="N66">
        <f t="shared" si="22"/>
        <v>0.60086668940060428</v>
      </c>
    </row>
    <row r="67" spans="2:15" x14ac:dyDescent="0.25">
      <c r="C67" t="s">
        <v>53</v>
      </c>
      <c r="D67" s="7">
        <f>D45 / D39</f>
        <v>18.888888888888889</v>
      </c>
    </row>
    <row r="68" spans="2:15" x14ac:dyDescent="0.25">
      <c r="C68" t="s">
        <v>54</v>
      </c>
      <c r="D68" s="7">
        <f>72 * SQRT(235/D35) / 1.2</f>
        <v>60</v>
      </c>
      <c r="F68" s="7">
        <f>D67/D68</f>
        <v>0.31481481481481483</v>
      </c>
      <c r="G68" s="3" t="str">
        <f>IF(F68&lt;=1,"OK!", "NG!")</f>
        <v>OK!</v>
      </c>
      <c r="H68" s="18" t="s">
        <v>117</v>
      </c>
      <c r="I68" s="3" t="s">
        <v>74</v>
      </c>
      <c r="J68" t="s">
        <v>115</v>
      </c>
      <c r="K68" t="s">
        <v>11</v>
      </c>
      <c r="L68">
        <f>MIN(L19:L20)</f>
        <v>244.46084515098738</v>
      </c>
      <c r="M68">
        <f>MIN(M19:M20)</f>
        <v>232.8</v>
      </c>
      <c r="N68">
        <f>MIN(N19:N20)</f>
        <v>232.8</v>
      </c>
    </row>
    <row r="69" spans="2:15" x14ac:dyDescent="0.25">
      <c r="H69" s="18"/>
      <c r="I69" s="3" t="s">
        <v>73</v>
      </c>
      <c r="J69" t="s">
        <v>115</v>
      </c>
      <c r="K69" t="s">
        <v>11</v>
      </c>
      <c r="L69">
        <f>MIN(L24:L25)</f>
        <v>195.56084515098738</v>
      </c>
      <c r="M69">
        <f>MIN(M24:M25)</f>
        <v>135</v>
      </c>
      <c r="N69">
        <f>MIN(N24:N25)</f>
        <v>183.9</v>
      </c>
    </row>
    <row r="70" spans="2:15" x14ac:dyDescent="0.25">
      <c r="B70" t="s">
        <v>151</v>
      </c>
      <c r="C70" t="s">
        <v>150</v>
      </c>
      <c r="D70" s="4">
        <f>(D38-D39) / 2</f>
        <v>95.5</v>
      </c>
      <c r="E70" t="s">
        <v>11</v>
      </c>
    </row>
    <row r="71" spans="2:15" x14ac:dyDescent="0.25">
      <c r="B71" t="s">
        <v>146</v>
      </c>
      <c r="C71" t="s">
        <v>145</v>
      </c>
      <c r="D71" s="4">
        <f>D70*D15</f>
        <v>1337</v>
      </c>
      <c r="E71" t="s">
        <v>62</v>
      </c>
      <c r="O71" s="17"/>
    </row>
    <row r="72" spans="2:15" x14ac:dyDescent="0.25">
      <c r="B72" t="s">
        <v>159</v>
      </c>
      <c r="C72" t="s">
        <v>148</v>
      </c>
      <c r="D72" s="4">
        <f>D70*D15^3 / 12</f>
        <v>21837.666666666668</v>
      </c>
      <c r="E72" t="s">
        <v>152</v>
      </c>
      <c r="H72" s="19" t="s">
        <v>184</v>
      </c>
      <c r="I72" s="3" t="s">
        <v>73</v>
      </c>
      <c r="J72" t="s">
        <v>104</v>
      </c>
      <c r="K72" t="s">
        <v>67</v>
      </c>
      <c r="L72" s="6">
        <f>MIN(L45:L46)/1000</f>
        <v>343.25352804573066</v>
      </c>
      <c r="M72" s="6">
        <f>MIN(M45:M46)/1000</f>
        <v>312.88571937754045</v>
      </c>
      <c r="N72" s="6">
        <f>MIN(N45:N46)/1000</f>
        <v>343.25352804573066</v>
      </c>
    </row>
    <row r="73" spans="2:15" x14ac:dyDescent="0.25">
      <c r="B73" t="s">
        <v>158</v>
      </c>
      <c r="C73" t="s">
        <v>147</v>
      </c>
      <c r="D73" s="4">
        <f>SQRT(D72/D71)</f>
        <v>4.0414518843273806</v>
      </c>
      <c r="E73" t="s">
        <v>11</v>
      </c>
      <c r="H73" s="19"/>
      <c r="J73" t="s">
        <v>105</v>
      </c>
      <c r="K73" t="s">
        <v>67</v>
      </c>
      <c r="L73" s="6">
        <f>MIN(L55:L56)/1000</f>
        <v>305.93314144856123</v>
      </c>
      <c r="M73" s="6">
        <f>MIN(M55:M56)/1000</f>
        <v>222.99753068219511</v>
      </c>
      <c r="N73" s="6">
        <f>MIN(N55:N56)/1000</f>
        <v>301.84028004667442</v>
      </c>
    </row>
    <row r="74" spans="2:15" x14ac:dyDescent="0.25">
      <c r="C74" t="s">
        <v>155</v>
      </c>
      <c r="D74" s="4">
        <f>0.75*D45</f>
        <v>127.5</v>
      </c>
      <c r="E74" t="s">
        <v>11</v>
      </c>
      <c r="H74" s="19"/>
      <c r="J74" t="s">
        <v>106</v>
      </c>
      <c r="K74" t="s">
        <v>67</v>
      </c>
      <c r="L74" s="6">
        <f>L64*L63*$D$50*$D$46/$D$4 / 1000</f>
        <v>283.43409348572072</v>
      </c>
      <c r="M74" s="6">
        <f>M64*M63*$D$50*$D$46/$D$4 / 1000</f>
        <v>249.34316048926939</v>
      </c>
      <c r="N74" s="6">
        <f>N64*N63*$D$50*$D$46/$D$4 / 1000</f>
        <v>283.43409348572072</v>
      </c>
    </row>
    <row r="75" spans="2:15" x14ac:dyDescent="0.25">
      <c r="C75" s="8" t="s">
        <v>153</v>
      </c>
      <c r="D75" s="15">
        <f>PI()*SQRT(D29/D35)</f>
        <v>93.9129729381402</v>
      </c>
      <c r="H75" s="19"/>
      <c r="J75" t="s">
        <v>114</v>
      </c>
      <c r="K75" t="s">
        <v>67</v>
      </c>
      <c r="L75" s="6">
        <f>L69*$E$39*$E$46/$D$4 / 1000</f>
        <v>395.22846805014541</v>
      </c>
      <c r="M75" s="6">
        <f>M69*$E$39*$E$46/$D$4 / 1000</f>
        <v>272.83499999999998</v>
      </c>
      <c r="N75" s="6">
        <f>N69*$E$39*$E$46/$D$4 / 1000</f>
        <v>371.66189999999995</v>
      </c>
    </row>
    <row r="76" spans="2:15" x14ac:dyDescent="0.25">
      <c r="C76" s="8" t="s">
        <v>124</v>
      </c>
      <c r="D76" s="16">
        <f>D74/D73/D75</f>
        <v>0.33592875716435172</v>
      </c>
      <c r="H76" s="19"/>
      <c r="J76" t="s">
        <v>185</v>
      </c>
      <c r="K76" t="s">
        <v>67</v>
      </c>
      <c r="L76" s="6">
        <f>MIN(L72:L75)</f>
        <v>283.43409348572072</v>
      </c>
      <c r="M76" s="6">
        <f t="shared" ref="M76:N76" si="23">MIN(M72:M75)</f>
        <v>222.99753068219511</v>
      </c>
      <c r="N76" s="6">
        <f t="shared" si="23"/>
        <v>283.43409348572072</v>
      </c>
    </row>
    <row r="77" spans="2:15" x14ac:dyDescent="0.25">
      <c r="C77" s="8" t="s">
        <v>70</v>
      </c>
      <c r="D77" s="1">
        <v>0.49</v>
      </c>
      <c r="F77" t="s">
        <v>154</v>
      </c>
      <c r="H77" s="19"/>
    </row>
    <row r="78" spans="2:15" x14ac:dyDescent="0.25">
      <c r="C78" s="8" t="s">
        <v>156</v>
      </c>
      <c r="D78" s="4">
        <f>0.5*(1+D77*(D76-0.2)+D76^2)</f>
        <v>0.58972661045025909</v>
      </c>
      <c r="H78" s="19"/>
      <c r="J78" t="s">
        <v>52</v>
      </c>
      <c r="K78" t="s">
        <v>11</v>
      </c>
      <c r="L78" s="4">
        <f>M78+D10</f>
        <v>328.25</v>
      </c>
      <c r="M78" s="4">
        <f>N78+D10</f>
        <v>193.25</v>
      </c>
      <c r="N78" s="4">
        <f>(E37-(D26-1)*D10) / 2 - E40/2</f>
        <v>58.25</v>
      </c>
    </row>
    <row r="79" spans="2:15" x14ac:dyDescent="0.25">
      <c r="C79" s="8" t="s">
        <v>157</v>
      </c>
      <c r="D79" s="4">
        <f>MIN(1 / (D78+SQRT(D78^2 - D76^2)),1)</f>
        <v>0.9307332356211423</v>
      </c>
      <c r="H79" s="19"/>
      <c r="J79" t="s">
        <v>79</v>
      </c>
      <c r="K79" t="s">
        <v>77</v>
      </c>
      <c r="L79">
        <f>$D$25*$D$22/$D$6</f>
        <v>508400</v>
      </c>
      <c r="M79">
        <f t="shared" ref="M79:N79" si="24">$D$25*$D$22/$D$6</f>
        <v>508400</v>
      </c>
      <c r="N79">
        <f t="shared" si="24"/>
        <v>508400</v>
      </c>
    </row>
    <row r="80" spans="2:15" x14ac:dyDescent="0.25">
      <c r="H80" s="19"/>
      <c r="I80" s="11" t="s">
        <v>74</v>
      </c>
      <c r="J80" t="s">
        <v>180</v>
      </c>
      <c r="K80" t="s">
        <v>67</v>
      </c>
      <c r="L80" s="6">
        <f>MIN(L39:L40)/1000</f>
        <v>353.05778849589143</v>
      </c>
      <c r="M80" s="6">
        <f>MIN(M39:M40)/1000</f>
        <v>353.05778849589143</v>
      </c>
      <c r="N80" s="6">
        <f>MIN(N39:N40)/1000</f>
        <v>353.05778849589143</v>
      </c>
    </row>
    <row r="81" spans="3:15" x14ac:dyDescent="0.25">
      <c r="C81" t="s">
        <v>85</v>
      </c>
      <c r="D81" s="4">
        <f>0.25 * D40^2 * D47 / D4</f>
        <v>13218.75</v>
      </c>
      <c r="E81" t="s">
        <v>75</v>
      </c>
      <c r="H81" s="19"/>
      <c r="J81" t="s">
        <v>105</v>
      </c>
      <c r="K81" t="s">
        <v>67</v>
      </c>
      <c r="L81" s="6">
        <f>MIN(L50:L51)/1000</f>
        <v>323.09664203199185</v>
      </c>
      <c r="M81" s="6">
        <f>MIN(M50:M51)/1000</f>
        <v>319.00378063010498</v>
      </c>
      <c r="N81" s="6">
        <f>MIN(N50:N51)/1000</f>
        <v>319.00378063010498</v>
      </c>
    </row>
    <row r="82" spans="3:15" x14ac:dyDescent="0.25">
      <c r="C82" t="s">
        <v>97</v>
      </c>
      <c r="D82" s="4">
        <f>0.25 * D9^2 * D53 / D4</f>
        <v>15040</v>
      </c>
      <c r="E82" t="s">
        <v>75</v>
      </c>
      <c r="H82" s="19"/>
      <c r="J82" t="s">
        <v>106</v>
      </c>
      <c r="K82" t="s">
        <v>67</v>
      </c>
      <c r="L82" s="6">
        <f>L59*L58*$D$50*$D$46/$D$4 / 1000</f>
        <v>312.83813551031142</v>
      </c>
      <c r="M82" s="6">
        <f>M59*M58*$D$50*$D$46/$D$4 / 1000</f>
        <v>312.83813551031142</v>
      </c>
      <c r="N82" s="6">
        <f>N59*N58*$D$50*$D$46/$D$4 / 1000</f>
        <v>312.83813551031142</v>
      </c>
    </row>
    <row r="83" spans="3:15" x14ac:dyDescent="0.25">
      <c r="C83" t="s">
        <v>86</v>
      </c>
      <c r="D83" s="4">
        <f>0.25 * D20^2 * D47 / D4</f>
        <v>0</v>
      </c>
      <c r="H83" s="19"/>
      <c r="J83" t="s">
        <v>114</v>
      </c>
      <c r="K83" t="s">
        <v>67</v>
      </c>
      <c r="L83" s="6">
        <f>L68*$E$39*$E$46/$D$4 / 1000</f>
        <v>494.05536805014543</v>
      </c>
      <c r="M83" s="6">
        <f>M68*$E$39*$E$46/$D$4 / 1000</f>
        <v>470.48879999999997</v>
      </c>
      <c r="N83" s="6">
        <f>N68*$E$39*$E$46/$D$4 / 1000</f>
        <v>470.48879999999997</v>
      </c>
    </row>
    <row r="84" spans="3:15" x14ac:dyDescent="0.25">
      <c r="C84" t="s">
        <v>84</v>
      </c>
      <c r="D84" s="7">
        <f>IF(D14=TRUE, 0.9 * D46 * D51 / SQRT(3) / D4 + D38*D40^2*D47/D16/D4, 0.9 * D46 * D51 / SQRT(3) / D4) / 1000</f>
        <v>330.10648888770822</v>
      </c>
      <c r="E84" t="s">
        <v>67</v>
      </c>
      <c r="H84" s="19"/>
      <c r="O84" s="17" t="s">
        <v>160</v>
      </c>
    </row>
    <row r="85" spans="3:15" x14ac:dyDescent="0.25">
      <c r="H85" s="19"/>
      <c r="J85" t="s">
        <v>163</v>
      </c>
      <c r="K85" t="s">
        <v>67</v>
      </c>
      <c r="L85">
        <f>MIN(L80:L83,L79/1000)</f>
        <v>312.83813551031142</v>
      </c>
      <c r="M85">
        <f t="shared" ref="M85:N85" si="25">MIN(M80:M83,M79/1000)</f>
        <v>312.83813551031142</v>
      </c>
      <c r="N85">
        <f t="shared" si="25"/>
        <v>312.83813551031142</v>
      </c>
      <c r="O85">
        <f>SUM(L85:N85)</f>
        <v>938.51440653093425</v>
      </c>
    </row>
    <row r="86" spans="3:15" x14ac:dyDescent="0.25">
      <c r="C86" t="s">
        <v>111</v>
      </c>
      <c r="D86" s="4">
        <f>D9</f>
        <v>16</v>
      </c>
      <c r="E86" t="s">
        <v>11</v>
      </c>
      <c r="F86" t="s">
        <v>171</v>
      </c>
      <c r="H86" s="19"/>
    </row>
    <row r="87" spans="3:15" x14ac:dyDescent="0.25">
      <c r="C87" t="s">
        <v>110</v>
      </c>
      <c r="D87" s="4">
        <f>E40 + 2*SQRT(2)*D12 + 5*(D40+D41) + D86</f>
        <v>194.5</v>
      </c>
      <c r="E87" t="s">
        <v>11</v>
      </c>
      <c r="H87" s="19"/>
      <c r="J87" t="s">
        <v>128</v>
      </c>
      <c r="K87" t="s">
        <v>67</v>
      </c>
      <c r="L87" s="6">
        <f>MIN(L80:L83,L79/1000)</f>
        <v>312.83813551031142</v>
      </c>
      <c r="M87" s="6">
        <f>MIN(M80:M83,M79/1000)</f>
        <v>312.83813551031142</v>
      </c>
      <c r="N87" s="6">
        <f>MIN(N80:N83,N79/1000)</f>
        <v>312.83813551031142</v>
      </c>
    </row>
    <row r="88" spans="3:15" x14ac:dyDescent="0.25">
      <c r="C88" s="8" t="s">
        <v>107</v>
      </c>
      <c r="D88" s="4">
        <f>IF(D8&lt;=0.5, 1, IF(D8&lt;1,D89+2*(1-D8)*(1-D89),IF(D8=1, D89, IF(D8&lt;2,D89+(D8-1)*(D90-D89), D90))))</f>
        <v>0.77941554989191186</v>
      </c>
      <c r="H88" s="19"/>
      <c r="I88" t="s">
        <v>130</v>
      </c>
      <c r="K88" t="s">
        <v>67</v>
      </c>
      <c r="L88">
        <f>IF(SUM($K$90:K90) + L87 &gt; $D$102, $D$102-SUM($K$88:K88),L87)</f>
        <v>312.83813551031142</v>
      </c>
      <c r="M88">
        <f>IF(SUM($K$90:L90) + M87 &gt; $D$102, $D$102-SUM($K$88:L88),M87)</f>
        <v>17.268353377396807</v>
      </c>
      <c r="N88">
        <f>IF(SUM($K$90:M90) + N87 &gt; $D$102, $D$102-SUM($K$88:M88),N87)</f>
        <v>0</v>
      </c>
    </row>
    <row r="89" spans="3:15" x14ac:dyDescent="0.25">
      <c r="C89" s="8" t="s">
        <v>109</v>
      </c>
      <c r="D89" s="4">
        <f>1 / SQRT(1 +1.3*(D87*D39/D51)^2)</f>
        <v>0.77941554989191186</v>
      </c>
      <c r="G89" s="3"/>
      <c r="H89" s="19"/>
      <c r="I89" t="s">
        <v>131</v>
      </c>
      <c r="K89" t="s">
        <v>67</v>
      </c>
      <c r="L89">
        <f>IF(SUM($K$89:K89) + L88 &gt; SUM($L$76:L76), SUM($L$76:L76) - SUM($K$89:K89), L88)</f>
        <v>283.43409348572072</v>
      </c>
      <c r="M89">
        <f>IF(SUM($K$89:L89) + M88 &gt; SUM($L$76:M76), SUM($L$76:M76) - SUM($K$89:L89), M88)</f>
        <v>17.268353377396807</v>
      </c>
      <c r="N89">
        <f>IF(SUM($K$89:M89) + N88 &gt; SUM($L$76:N76), SUM($L$76:N76) - SUM($K$89:M89), N88)</f>
        <v>0</v>
      </c>
    </row>
    <row r="90" spans="3:15" x14ac:dyDescent="0.25">
      <c r="C90" s="8" t="s">
        <v>112</v>
      </c>
      <c r="D90" s="4">
        <f>1 / SQRT(1 +5.2*(D87*D39/D51)^2)</f>
        <v>0.52818562031583616</v>
      </c>
      <c r="I90" t="s">
        <v>132</v>
      </c>
      <c r="K90" t="s">
        <v>67</v>
      </c>
      <c r="L90">
        <f>L89</f>
        <v>283.43409348572072</v>
      </c>
      <c r="M90">
        <f>_xlfn.IFNA(MIN(M89, INDEX($L$90:L90, MATCH(1.9*$D$22/1000/$D$6,$L$90:L90,-1)) * M78 / INDEX($L$90:L90, MATCH(0.3*$D$22/1000/$D$6,$L$78:L78,-1))), M89)</f>
        <v>17.268353377396807</v>
      </c>
      <c r="N90">
        <f>_xlfn.IFNA(MIN(N89, INDEX($L$90:M90, MATCH(1.9*$D$22/1000/$D$6,$L$90:M90,-1)) * N78 / INDEX($L$90:M90, MATCH(0.3*$D$22/1000/$D$6,$L$78:M78,-1))), N89)</f>
        <v>0</v>
      </c>
    </row>
    <row r="91" spans="3:15" x14ac:dyDescent="0.25">
      <c r="C91" s="8" t="s">
        <v>124</v>
      </c>
      <c r="D91" s="4">
        <f>0.932 * SQRT(D87*D48*D46/D29/D49^2)</f>
        <v>0.55925501688989765</v>
      </c>
    </row>
    <row r="92" spans="3:15" x14ac:dyDescent="0.25">
      <c r="C92" s="8" t="s">
        <v>125</v>
      </c>
      <c r="D92" s="4">
        <f>IF(D91&lt;=0.673, 1, (D91-0.22)/D91^2)</f>
        <v>1</v>
      </c>
      <c r="J92" t="s">
        <v>161</v>
      </c>
      <c r="K92" t="s">
        <v>162</v>
      </c>
      <c r="L92">
        <f>SUMPRODUCT(L90:N90, L78:N78)/1000</f>
        <v>96.374350476869765</v>
      </c>
      <c r="M92" t="s">
        <v>162</v>
      </c>
    </row>
    <row r="93" spans="3:15" x14ac:dyDescent="0.25">
      <c r="J93" t="s">
        <v>166</v>
      </c>
      <c r="K93" t="s">
        <v>67</v>
      </c>
      <c r="L93">
        <f>O85</f>
        <v>938.51440653093425</v>
      </c>
      <c r="M93" t="s">
        <v>67</v>
      </c>
    </row>
    <row r="94" spans="3:15" x14ac:dyDescent="0.25">
      <c r="J94" t="s">
        <v>167</v>
      </c>
      <c r="K94" t="s">
        <v>67</v>
      </c>
      <c r="L94">
        <f>(D108*D49*D46/D5/1000) + IF(D14=TRUE,2*D97,0)</f>
        <v>1832.4790144217627</v>
      </c>
      <c r="M94" t="s">
        <v>67</v>
      </c>
    </row>
    <row r="95" spans="3:15" x14ac:dyDescent="0.25">
      <c r="C95" t="s">
        <v>142</v>
      </c>
      <c r="D95" s="4">
        <f>MIN(D88*D28*D87*D49*D46/D4 / 1000)</f>
        <v>320.62622622016102</v>
      </c>
      <c r="E95" t="s">
        <v>67</v>
      </c>
    </row>
    <row r="96" spans="3:15" x14ac:dyDescent="0.25">
      <c r="C96" t="s">
        <v>141</v>
      </c>
      <c r="D96" s="4">
        <f>D88*D28*D92*D87*D49*D46/D5 / 1000</f>
        <v>291.47838747287364</v>
      </c>
      <c r="E96" t="s">
        <v>67</v>
      </c>
    </row>
    <row r="97" spans="2:6" x14ac:dyDescent="0.25">
      <c r="C97" t="s">
        <v>143</v>
      </c>
      <c r="D97" s="4">
        <f>2 * D79 * D71 * D35 / D5 /1000</f>
        <v>531.69405266542685</v>
      </c>
      <c r="E97" t="s">
        <v>67</v>
      </c>
      <c r="F97" t="s">
        <v>144</v>
      </c>
    </row>
    <row r="98" spans="2:6" x14ac:dyDescent="0.25">
      <c r="C98" t="s">
        <v>118</v>
      </c>
      <c r="D98" s="4">
        <f>IF(D14=TRUE,D95+D97,D96)</f>
        <v>852.32027888558787</v>
      </c>
      <c r="E98" t="s">
        <v>67</v>
      </c>
    </row>
    <row r="99" spans="2:6" x14ac:dyDescent="0.25">
      <c r="D99" s="4"/>
    </row>
    <row r="100" spans="2:6" x14ac:dyDescent="0.25">
      <c r="C100" t="s">
        <v>119</v>
      </c>
      <c r="D100" s="4">
        <f>(E43*E47) / (E37-E40) /1000</f>
        <v>794.68305304010357</v>
      </c>
      <c r="E100" t="s">
        <v>67</v>
      </c>
    </row>
    <row r="101" spans="2:6" x14ac:dyDescent="0.25">
      <c r="D101" s="4"/>
    </row>
    <row r="102" spans="2:6" x14ac:dyDescent="0.25">
      <c r="B102" t="s">
        <v>165</v>
      </c>
      <c r="C102" t="s">
        <v>129</v>
      </c>
      <c r="D102" s="4">
        <f>MIN(D84/D8, D98, D100)</f>
        <v>330.10648888770822</v>
      </c>
      <c r="E102" t="s">
        <v>67</v>
      </c>
    </row>
    <row r="105" spans="2:6" x14ac:dyDescent="0.25">
      <c r="C105" t="s">
        <v>169</v>
      </c>
      <c r="D105" s="4">
        <f>D47*D38/(D46*D49)</f>
        <v>22.222222222222221</v>
      </c>
    </row>
    <row r="106" spans="2:6" x14ac:dyDescent="0.25">
      <c r="C106" t="s">
        <v>170</v>
      </c>
      <c r="D106" s="4">
        <v>0</v>
      </c>
      <c r="F106" t="s">
        <v>171</v>
      </c>
    </row>
    <row r="107" spans="2:6" x14ac:dyDescent="0.25">
      <c r="C107" t="s">
        <v>172</v>
      </c>
      <c r="D107" s="4">
        <f>E37</f>
        <v>400</v>
      </c>
      <c r="F107" t="s">
        <v>173</v>
      </c>
    </row>
    <row r="108" spans="2:6" x14ac:dyDescent="0.25">
      <c r="B108" t="s">
        <v>174</v>
      </c>
      <c r="C108" t="s">
        <v>168</v>
      </c>
      <c r="D108" s="4">
        <f>IF(D14=TRUE, MIN(D107 + 2 * D40 * (1 + SQRT(D105+D106)), E37), D107 + 2 * D40 * (1 + SQRT(D105+D106)))</f>
        <v>400</v>
      </c>
      <c r="E108" t="s">
        <v>11</v>
      </c>
      <c r="F108" t="s">
        <v>175</v>
      </c>
    </row>
    <row r="109" spans="2:6" x14ac:dyDescent="0.25">
      <c r="C109" t="s">
        <v>176</v>
      </c>
      <c r="D109" s="15">
        <f>IF(D14=TRUE, 6+2*(D45/D16)^2, 6)</f>
        <v>6.3742335657725206</v>
      </c>
    </row>
    <row r="110" spans="2:6" x14ac:dyDescent="0.25">
      <c r="C110" t="s">
        <v>177</v>
      </c>
      <c r="D110" s="4">
        <f>0.9*D109*D29*D49^3/D45</f>
        <v>5166166.323092374</v>
      </c>
    </row>
    <row r="111" spans="2:6" x14ac:dyDescent="0.25">
      <c r="C111" s="8" t="s">
        <v>178</v>
      </c>
      <c r="D111" s="4">
        <f>SQRT(D108*D49*D46/D110)</f>
        <v>0.40466998146875166</v>
      </c>
    </row>
    <row r="112" spans="2:6" x14ac:dyDescent="0.25">
      <c r="C112" s="8" t="s">
        <v>179</v>
      </c>
      <c r="D112" s="4">
        <f>MIN(0.5/D111,1)</f>
        <v>1</v>
      </c>
    </row>
    <row r="127" spans="4:4" x14ac:dyDescent="0.25">
      <c r="D127" s="4"/>
    </row>
    <row r="128" spans="4:4" x14ac:dyDescent="0.25">
      <c r="D128" s="4"/>
    </row>
    <row r="129" spans="4:4" x14ac:dyDescent="0.25">
      <c r="D129" s="4"/>
    </row>
    <row r="130" spans="4:4" x14ac:dyDescent="0.25">
      <c r="D130" s="4"/>
    </row>
    <row r="131" spans="4:4" x14ac:dyDescent="0.25">
      <c r="D131" s="4"/>
    </row>
    <row r="132" spans="4:4" x14ac:dyDescent="0.25">
      <c r="D132" s="4"/>
    </row>
    <row r="133" spans="4:4" x14ac:dyDescent="0.25">
      <c r="D133" s="4"/>
    </row>
    <row r="134" spans="4:4" x14ac:dyDescent="0.25">
      <c r="D134" s="4"/>
    </row>
    <row r="135" spans="4:4" x14ac:dyDescent="0.25">
      <c r="D135" s="4"/>
    </row>
    <row r="136" spans="4:4" x14ac:dyDescent="0.25">
      <c r="D136" s="4"/>
    </row>
    <row r="137" spans="4:4" x14ac:dyDescent="0.25">
      <c r="D137" s="4"/>
    </row>
    <row r="138" spans="4:4" x14ac:dyDescent="0.25">
      <c r="D138" s="4"/>
    </row>
    <row r="139" spans="4:4" x14ac:dyDescent="0.25">
      <c r="D139" s="4"/>
    </row>
    <row r="140" spans="4:4" x14ac:dyDescent="0.25">
      <c r="D140" s="4"/>
    </row>
    <row r="141" spans="4:4" x14ac:dyDescent="0.25">
      <c r="D141" s="4"/>
    </row>
    <row r="142" spans="4:4" x14ac:dyDescent="0.25">
      <c r="D142" s="4"/>
    </row>
    <row r="143" spans="4:4" x14ac:dyDescent="0.25">
      <c r="D143" s="4"/>
    </row>
    <row r="144" spans="4:4" x14ac:dyDescent="0.25">
      <c r="D144" s="4"/>
    </row>
    <row r="145" spans="4:4" x14ac:dyDescent="0.25">
      <c r="D145" s="4"/>
    </row>
    <row r="146" spans="4:4" x14ac:dyDescent="0.25">
      <c r="D146" s="4"/>
    </row>
    <row r="147" spans="4:4" x14ac:dyDescent="0.25">
      <c r="D147" s="4"/>
    </row>
    <row r="148" spans="4:4" x14ac:dyDescent="0.25">
      <c r="D148" s="4"/>
    </row>
    <row r="149" spans="4:4" x14ac:dyDescent="0.25">
      <c r="D149" s="4"/>
    </row>
    <row r="150" spans="4:4" x14ac:dyDescent="0.25">
      <c r="D150" s="4"/>
    </row>
    <row r="151" spans="4:4" x14ac:dyDescent="0.25">
      <c r="D151" s="4"/>
    </row>
    <row r="152" spans="4:4" x14ac:dyDescent="0.25">
      <c r="D152" s="4"/>
    </row>
    <row r="153" spans="4:4" x14ac:dyDescent="0.25">
      <c r="D153" s="4"/>
    </row>
    <row r="154" spans="4:4" x14ac:dyDescent="0.25">
      <c r="D154" s="4"/>
    </row>
    <row r="155" spans="4:4" x14ac:dyDescent="0.25">
      <c r="D155" s="4"/>
    </row>
    <row r="156" spans="4:4" x14ac:dyDescent="0.25">
      <c r="D156" s="4"/>
    </row>
    <row r="157" spans="4:4" x14ac:dyDescent="0.25">
      <c r="D157" s="4"/>
    </row>
    <row r="158" spans="4:4" x14ac:dyDescent="0.25">
      <c r="D158" s="4"/>
    </row>
    <row r="159" spans="4:4" x14ac:dyDescent="0.25">
      <c r="D159" s="4"/>
    </row>
    <row r="160" spans="4:4" x14ac:dyDescent="0.25">
      <c r="D160" s="4"/>
    </row>
    <row r="161" spans="4:4" x14ac:dyDescent="0.25">
      <c r="D161" s="4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  <row r="177" spans="4:4" x14ac:dyDescent="0.25">
      <c r="D177" s="4"/>
    </row>
    <row r="178" spans="4:4" x14ac:dyDescent="0.25">
      <c r="D178" s="4"/>
    </row>
    <row r="179" spans="4:4" x14ac:dyDescent="0.25">
      <c r="D179" s="4"/>
    </row>
    <row r="180" spans="4:4" x14ac:dyDescent="0.25">
      <c r="D180" s="4"/>
    </row>
    <row r="181" spans="4:4" x14ac:dyDescent="0.25">
      <c r="D181" s="4"/>
    </row>
    <row r="182" spans="4:4" x14ac:dyDescent="0.25">
      <c r="D182" s="4"/>
    </row>
    <row r="183" spans="4:4" x14ac:dyDescent="0.25">
      <c r="D183" s="4"/>
    </row>
    <row r="184" spans="4:4" x14ac:dyDescent="0.25">
      <c r="D184" s="4"/>
    </row>
    <row r="185" spans="4:4" x14ac:dyDescent="0.25">
      <c r="D185" s="4"/>
    </row>
    <row r="186" spans="4:4" x14ac:dyDescent="0.25">
      <c r="D186" s="4"/>
    </row>
    <row r="187" spans="4:4" x14ac:dyDescent="0.25">
      <c r="D187" s="4"/>
    </row>
    <row r="188" spans="4:4" x14ac:dyDescent="0.25">
      <c r="D188" s="4"/>
    </row>
    <row r="189" spans="4:4" x14ac:dyDescent="0.25">
      <c r="D189" s="4"/>
    </row>
    <row r="190" spans="4:4" x14ac:dyDescent="0.25">
      <c r="D190" s="4"/>
    </row>
    <row r="191" spans="4:4" x14ac:dyDescent="0.25">
      <c r="D191" s="4"/>
    </row>
    <row r="192" spans="4:4" x14ac:dyDescent="0.25">
      <c r="D192" s="4"/>
    </row>
    <row r="193" spans="4:4" x14ac:dyDescent="0.25">
      <c r="D193" s="4"/>
    </row>
    <row r="194" spans="4:4" x14ac:dyDescent="0.25">
      <c r="D194" s="4"/>
    </row>
    <row r="195" spans="4:4" x14ac:dyDescent="0.25">
      <c r="D195" s="4"/>
    </row>
    <row r="196" spans="4:4" x14ac:dyDescent="0.25">
      <c r="D196" s="4"/>
    </row>
    <row r="197" spans="4:4" x14ac:dyDescent="0.25">
      <c r="D197" s="4"/>
    </row>
    <row r="198" spans="4:4" x14ac:dyDescent="0.25">
      <c r="D198" s="4"/>
    </row>
    <row r="199" spans="4:4" x14ac:dyDescent="0.25">
      <c r="D199" s="4"/>
    </row>
    <row r="200" spans="4:4" x14ac:dyDescent="0.25">
      <c r="D200" s="4"/>
    </row>
    <row r="201" spans="4:4" x14ac:dyDescent="0.25">
      <c r="D201" s="4"/>
    </row>
    <row r="202" spans="4:4" x14ac:dyDescent="0.25">
      <c r="D202" s="4"/>
    </row>
    <row r="203" spans="4:4" x14ac:dyDescent="0.25">
      <c r="D203" s="4"/>
    </row>
    <row r="204" spans="4:4" x14ac:dyDescent="0.25">
      <c r="D204" s="4"/>
    </row>
    <row r="205" spans="4:4" x14ac:dyDescent="0.25">
      <c r="D205" s="4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</sheetData>
  <mergeCells count="15">
    <mergeCell ref="H72:H89"/>
    <mergeCell ref="H68:H69"/>
    <mergeCell ref="H5:H14"/>
    <mergeCell ref="H16:H25"/>
    <mergeCell ref="I17:I20"/>
    <mergeCell ref="I22:I25"/>
    <mergeCell ref="I48:I51"/>
    <mergeCell ref="I53:I56"/>
    <mergeCell ref="H48:H56"/>
    <mergeCell ref="I42:I46"/>
    <mergeCell ref="I36:I40"/>
    <mergeCell ref="H36:H46"/>
    <mergeCell ref="I11:I14"/>
    <mergeCell ref="I6:I9"/>
    <mergeCell ref="H58:H66"/>
  </mergeCells>
  <conditionalFormatting sqref="G68">
    <cfRule type="cellIs" dxfId="4" priority="8" operator="equal">
      <formula>"NG!"</formula>
    </cfRule>
    <cfRule type="cellIs" dxfId="3" priority="9" operator="equal">
      <formula>"OK!"</formula>
    </cfRule>
  </conditionalFormatting>
  <conditionalFormatting sqref="L72:N75">
    <cfRule type="expression" dxfId="2" priority="1">
      <formula>L72=MIN(L$72:L$75)</formula>
    </cfRule>
  </conditionalFormatting>
  <conditionalFormatting sqref="L80:N81">
    <cfRule type="expression" dxfId="1" priority="2">
      <formula>L80=MIN(L80:L83)</formula>
    </cfRule>
  </conditionalFormatting>
  <conditionalFormatting sqref="L82:N83">
    <cfRule type="expression" dxfId="0" priority="11">
      <formula>L82=MIN(L82:L87)</formula>
    </cfRule>
  </conditionalFormatting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2025-02-14T12:42:29Z</dcterms:created>
  <dcterms:modified xsi:type="dcterms:W3CDTF">2025-02-24T14:30:06Z</dcterms:modified>
</cp:coreProperties>
</file>