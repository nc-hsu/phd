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other/Berechnungen/"/>
    </mc:Choice>
  </mc:AlternateContent>
  <xr:revisionPtr revIDLastSave="32" documentId="8_{DF84BD62-BACB-47FD-94B3-670696F60B8D}" xr6:coauthVersionLast="47" xr6:coauthVersionMax="47" xr10:uidLastSave="{43139A33-AB2C-43C7-A96B-DD213C72C959}"/>
  <bookViews>
    <workbookView xWindow="-120" yWindow="-120" windowWidth="29040" windowHeight="15720" xr2:uid="{7D9295CA-11CB-4DE1-B0A9-DFA242247CEC}"/>
  </bookViews>
  <sheets>
    <sheet name="Loads" sheetId="1" r:id="rId1"/>
  </sheets>
  <definedNames>
    <definedName name="T">Loads!$C$31</definedName>
    <definedName name="TA">Loads!$C$17</definedName>
    <definedName name="TB">Loads!$C$18</definedName>
    <definedName name="TC">Loads!$C$19</definedName>
    <definedName name="TD">Loads!$C$20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4" i="1"/>
  <c r="C27" i="1"/>
  <c r="C9" i="1"/>
  <c r="C12" i="1" s="1"/>
  <c r="C6" i="1"/>
  <c r="C10" i="1" s="1"/>
  <c r="C13" i="1" s="1"/>
  <c r="C20" i="1" l="1"/>
  <c r="C19" i="1"/>
  <c r="C18" i="1" l="1"/>
  <c r="C29" i="1" s="1"/>
  <c r="C28" i="1"/>
  <c r="C32" i="1" l="1"/>
  <c r="C33" i="1" l="1"/>
  <c r="C34" i="1"/>
  <c r="C35" i="1" l="1"/>
</calcChain>
</file>

<file path=xl/sharedStrings.xml><?xml version="1.0" encoding="utf-8"?>
<sst xmlns="http://schemas.openxmlformats.org/spreadsheetml/2006/main" count="43" uniqueCount="36">
  <si>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</si>
  <si>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</si>
  <si>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</si>
  <si>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</si>
  <si>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</si>
  <si>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</si>
  <si>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</si>
  <si>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</si>
  <si>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</si>
  <si>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</si>
  <si>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</si>
  <si>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</si>
  <si>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</si>
  <si>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</si>
  <si>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</si>
  <si>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</si>
  <si>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</si>
  <si>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</si>
  <si>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</si>
  <si>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</si>
  <si>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</si>
  <si>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</si>
  <si>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</si>
  <si>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</si>
  <si>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kN</t>
  </si>
  <si>
    <t>R_q</t>
  </si>
  <si>
    <t>q_max</t>
  </si>
  <si>
    <t>q_d</t>
  </si>
  <si>
    <t>q_R</t>
  </si>
  <si>
    <t>q_S</t>
  </si>
  <si>
    <t>S_r(T)</t>
  </si>
  <si>
    <t>q_disp</t>
  </si>
  <si>
    <t>Seismic Loads --&gt; EC8-1-1:2022</t>
  </si>
  <si>
    <t>q_design</t>
  </si>
  <si>
    <t>Building Weight</t>
  </si>
  <si>
    <t>No. Storey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</si>
</sst>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164" fontId="4" fillId="0" borderId="4" xfId="0" applyNumberFormat="1" applyFont="1" applyBorder="1"/>
    <xf numFmtId="0" fontId="0" fillId="0" borderId="1" xfId="0" applyBorder="1" applyAlignment="1">
      <alignment horizontal="center" vertical="center"/>
    </xf>
    <xf numFmtId="0" fontId="1" fillId="3" borderId="0" xfId="0" applyFont="1" applyFill="1" applyBorder="1"/>
    <xf numFmtId="0" fontId="0" fillId="0" borderId="0" xfId="0" applyBorder="1"/>
    <xf numFmtId="0" fontId="1" fillId="3" borderId="0" xfId="0" applyFont="1" applyFill="1" applyBorder="1" applyAlignment="1">
      <alignment horizontal="right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165" fontId="4" fillId="0" borderId="0" xfId="0" applyNumberFormat="1" applyFont="1" applyBorder="1"/>
    <xf numFmtId="0" fontId="0" fillId="0" borderId="0" xfId="0" applyFill="1" applyBorder="1"/>
    <xf numFmtId="0" fontId="0" fillId="0" borderId="2" xfId="0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4" fillId="0" borderId="0" xfId="0" applyFont="1" applyFill="1" applyBorder="1"/>
    <xf numFmtId="2" fontId="4" fillId="0" borderId="0" xfId="0" applyNumberFormat="1" applyFont="1" applyFill="1" applyBorder="1"/>
    <xf numFmtId="2" fontId="4" fillId="0" borderId="2" xfId="0" applyNumberFormat="1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1" fillId="0" borderId="0" xfId="0" applyFont="1" applyFill="1" applyBorder="1"/>
    <xf numFmtId="0" fontId="0" fillId="0" borderId="1" xfId="0" applyFont="1" applyBorder="1"/>
    <xf numFmtId="165" fontId="1" fillId="3" borderId="0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2:J38"/>
  <sheetViews>
    <sheetView tabSelected="1" zoomScale="85" zoomScaleNormal="85" workbookViewId="0">
      <selection activeCell="E30" sqref="E30"/>
    </sheetView>
  </sheetViews>
  <sheetFormatPr baseColWidth="10" defaultRowHeight="15" x14ac:dyDescent="0.25"/>
  <cols>
    <col min="2" max="2" width="16.140625" customWidth="1"/>
    <col min="6" max="6" width="13.42578125" customWidth="1"/>
    <col min="9" max="9" width="16.42578125" bestFit="1" customWidth="1"/>
    <col min="10" max="11" width="12.42578125" bestFit="1" customWidth="1"/>
  </cols>
  <sheetData>
    <row r="2" spans="2:10" ht="15.75" thickBot="1" x14ac:dyDescent="0.3"/>
    <row r="3" spans="2:10" x14ac:dyDescent="0.25">
      <c r="B3" s="7" t="s">
        <v>32</v>
      </c>
      <c r="C3" s="8"/>
      <c r="D3" s="8"/>
      <c r="E3" s="8"/>
      <c r="F3" s="8"/>
      <c r="G3" s="8"/>
      <c r="H3" s="8"/>
      <c r="I3" s="8"/>
      <c r="J3" s="9"/>
    </row>
    <row r="4" spans="2:10" x14ac:dyDescent="0.25">
      <c r="B4" s="29" t="s">
        <v>0</v>
      </c>
      <c r="C4" s="12">
        <f>9.81</f>
        <v>9.81</v>
      </c>
      <c r="D4" s="13" t="s">
        <v>1</v>
      </c>
      <c r="E4" s="19"/>
      <c r="F4" s="19" t="s">
        <v>34</v>
      </c>
      <c r="G4" s="28">
        <v>1000</v>
      </c>
      <c r="H4" s="19" t="s">
        <v>24</v>
      </c>
      <c r="I4" s="19"/>
      <c r="J4" s="20"/>
    </row>
    <row r="5" spans="2:10" x14ac:dyDescent="0.25">
      <c r="B5" s="1" t="s">
        <v>4</v>
      </c>
      <c r="C5" s="12">
        <v>0.44</v>
      </c>
      <c r="D5" s="13" t="s">
        <v>0</v>
      </c>
      <c r="E5" s="19"/>
      <c r="F5" s="19" t="s">
        <v>35</v>
      </c>
      <c r="G5" s="28">
        <v>3</v>
      </c>
      <c r="H5" s="19"/>
      <c r="I5" s="19"/>
      <c r="J5" s="20"/>
    </row>
    <row r="6" spans="2:10" x14ac:dyDescent="0.25">
      <c r="B6" s="1" t="s">
        <v>5</v>
      </c>
      <c r="C6" s="12">
        <f>0.3*C5</f>
        <v>0.13200000000000001</v>
      </c>
      <c r="D6" s="13" t="s">
        <v>0</v>
      </c>
      <c r="E6" s="19"/>
      <c r="F6" s="19"/>
      <c r="G6" s="19"/>
      <c r="H6" s="19"/>
      <c r="I6" s="19"/>
      <c r="J6" s="20"/>
    </row>
    <row r="7" spans="2:10" x14ac:dyDescent="0.25">
      <c r="B7" s="1" t="s">
        <v>6</v>
      </c>
      <c r="C7" s="14" t="s">
        <v>7</v>
      </c>
      <c r="D7" s="13"/>
      <c r="E7" s="21"/>
      <c r="F7" s="21"/>
      <c r="G7" s="21"/>
      <c r="H7" s="19"/>
      <c r="I7" s="21"/>
      <c r="J7" s="22"/>
    </row>
    <row r="8" spans="2:10" x14ac:dyDescent="0.25">
      <c r="B8" s="1" t="s">
        <v>8</v>
      </c>
      <c r="C8" s="12">
        <v>1</v>
      </c>
      <c r="D8" s="13"/>
      <c r="E8" s="19"/>
      <c r="F8" s="23"/>
      <c r="G8" s="24"/>
      <c r="H8" s="19"/>
      <c r="I8" s="24"/>
      <c r="J8" s="25"/>
    </row>
    <row r="9" spans="2:10" x14ac:dyDescent="0.25">
      <c r="B9" s="1" t="s">
        <v>9</v>
      </c>
      <c r="C9" s="12">
        <f>1.6*(1-0.2*C5)</f>
        <v>1.4592000000000001</v>
      </c>
      <c r="D9" s="13"/>
      <c r="E9" s="19"/>
      <c r="F9" s="23"/>
      <c r="G9" s="24"/>
      <c r="H9" s="19"/>
      <c r="I9" s="24"/>
      <c r="J9" s="25"/>
    </row>
    <row r="10" spans="2:10" x14ac:dyDescent="0.25">
      <c r="B10" s="1" t="s">
        <v>10</v>
      </c>
      <c r="C10" s="12">
        <f>2.3*(1-0.3*C6)</f>
        <v>2.20892</v>
      </c>
      <c r="D10" s="13"/>
      <c r="E10" s="19"/>
      <c r="F10" s="23"/>
      <c r="G10" s="24"/>
      <c r="H10" s="19"/>
      <c r="I10" s="24"/>
      <c r="J10" s="25"/>
    </row>
    <row r="11" spans="2:10" x14ac:dyDescent="0.25">
      <c r="B11" s="1"/>
      <c r="C11" s="13"/>
      <c r="D11" s="13"/>
      <c r="E11" s="19"/>
      <c r="F11" s="23"/>
      <c r="G11" s="24"/>
      <c r="H11" s="19"/>
      <c r="I11" s="24"/>
      <c r="J11" s="25"/>
    </row>
    <row r="12" spans="2:10" ht="18" x14ac:dyDescent="0.35">
      <c r="B12" s="1" t="s">
        <v>11</v>
      </c>
      <c r="C12" s="16">
        <f>C8*C9*C5</f>
        <v>0.64204800000000006</v>
      </c>
      <c r="D12" s="13"/>
      <c r="E12" s="19"/>
      <c r="F12" s="23"/>
      <c r="G12" s="24"/>
      <c r="H12" s="19"/>
      <c r="I12" s="24"/>
      <c r="J12" s="25"/>
    </row>
    <row r="13" spans="2:10" ht="18" x14ac:dyDescent="0.35">
      <c r="B13" s="1" t="s">
        <v>12</v>
      </c>
      <c r="C13" s="16">
        <f>C8*C10*C6</f>
        <v>0.29157744000000002</v>
      </c>
      <c r="D13" s="13"/>
      <c r="E13" s="19"/>
      <c r="F13" s="23"/>
      <c r="G13" s="24"/>
      <c r="H13" s="19"/>
      <c r="I13" s="24"/>
      <c r="J13" s="25"/>
    </row>
    <row r="14" spans="2:10" x14ac:dyDescent="0.25">
      <c r="B14" s="1"/>
      <c r="C14" s="13"/>
      <c r="D14" s="13"/>
      <c r="E14" s="19"/>
      <c r="F14" s="23"/>
      <c r="G14" s="24"/>
      <c r="H14" s="19"/>
      <c r="I14" s="24"/>
      <c r="J14" s="25"/>
    </row>
    <row r="15" spans="2:10" x14ac:dyDescent="0.25">
      <c r="B15" s="1" t="s">
        <v>18</v>
      </c>
      <c r="C15" s="12">
        <v>2.5</v>
      </c>
      <c r="D15" s="13"/>
      <c r="E15" s="19"/>
      <c r="F15" s="23"/>
      <c r="G15" s="24"/>
      <c r="H15" s="19"/>
      <c r="I15" s="24"/>
      <c r="J15" s="25"/>
    </row>
    <row r="16" spans="2:10" x14ac:dyDescent="0.25">
      <c r="B16" s="3" t="s">
        <v>19</v>
      </c>
      <c r="C16" s="12">
        <v>4</v>
      </c>
      <c r="D16" s="13"/>
      <c r="E16" s="19"/>
      <c r="F16" s="23"/>
      <c r="G16" s="24"/>
      <c r="H16" s="19"/>
      <c r="I16" s="24"/>
      <c r="J16" s="25"/>
    </row>
    <row r="17" spans="2:10" x14ac:dyDescent="0.25">
      <c r="B17" s="1" t="s">
        <v>13</v>
      </c>
      <c r="C17" s="12">
        <v>0.02</v>
      </c>
      <c r="D17" s="13"/>
      <c r="E17" s="26"/>
      <c r="F17" s="24"/>
      <c r="G17" s="24"/>
      <c r="H17" s="24"/>
      <c r="I17" s="24"/>
      <c r="J17" s="25"/>
    </row>
    <row r="18" spans="2:10" x14ac:dyDescent="0.25">
      <c r="B18" s="1" t="s">
        <v>14</v>
      </c>
      <c r="C18" s="12">
        <f>IF((C19/C16) &lt; 0.05, C19/C16, IF((C19/C16) &lt; 0.01, 0.05, 0.1))</f>
        <v>0.1</v>
      </c>
      <c r="D18" s="13"/>
      <c r="E18" s="19"/>
      <c r="F18" s="19"/>
      <c r="G18" s="19"/>
      <c r="H18" s="19"/>
      <c r="I18" s="19"/>
      <c r="J18" s="20"/>
    </row>
    <row r="19" spans="2:10" x14ac:dyDescent="0.25">
      <c r="B19" s="1" t="s">
        <v>15</v>
      </c>
      <c r="C19" s="16">
        <f>IF(C5=0, 0, C13/C12 * C21)</f>
        <v>0.45413651315789472</v>
      </c>
      <c r="D19" s="13"/>
      <c r="E19" s="27"/>
      <c r="F19" s="19"/>
      <c r="G19" s="19"/>
      <c r="H19" s="19"/>
      <c r="I19" s="19"/>
      <c r="J19" s="20"/>
    </row>
    <row r="20" spans="2:10" x14ac:dyDescent="0.25">
      <c r="B20" s="1" t="s">
        <v>16</v>
      </c>
      <c r="C20" s="16">
        <f>IF(C6*C4 &lt;= 1, 2, 1+C6)</f>
        <v>1.1320000000000001</v>
      </c>
      <c r="D20" s="13"/>
      <c r="E20" s="21"/>
      <c r="F20" s="21"/>
      <c r="G20" s="21"/>
      <c r="H20" s="21"/>
      <c r="I20" s="21"/>
      <c r="J20" s="20"/>
    </row>
    <row r="21" spans="2:10" x14ac:dyDescent="0.25">
      <c r="B21" s="1" t="s">
        <v>17</v>
      </c>
      <c r="C21" s="12">
        <v>1</v>
      </c>
      <c r="D21" s="13"/>
      <c r="E21" s="19"/>
      <c r="F21" s="24"/>
      <c r="G21" s="28"/>
      <c r="H21" s="24"/>
      <c r="I21" s="24"/>
      <c r="J21" s="20"/>
    </row>
    <row r="22" spans="2:10" x14ac:dyDescent="0.25">
      <c r="B22" s="1" t="s">
        <v>21</v>
      </c>
      <c r="C22" s="12">
        <v>1</v>
      </c>
      <c r="D22" s="13"/>
      <c r="E22" s="19"/>
      <c r="F22" s="24"/>
      <c r="G22" s="28"/>
      <c r="H22" s="24"/>
      <c r="I22" s="24"/>
      <c r="J22" s="20"/>
    </row>
    <row r="23" spans="2:10" x14ac:dyDescent="0.25">
      <c r="B23" s="1" t="s">
        <v>26</v>
      </c>
      <c r="C23" s="12">
        <v>4</v>
      </c>
      <c r="D23" s="13"/>
      <c r="E23" s="19"/>
      <c r="F23" s="24"/>
      <c r="G23" s="28"/>
      <c r="H23" s="24"/>
      <c r="I23" s="24"/>
      <c r="J23" s="20"/>
    </row>
    <row r="24" spans="2:10" x14ac:dyDescent="0.25">
      <c r="B24" s="1" t="s">
        <v>27</v>
      </c>
      <c r="C24" s="12">
        <v>1.92</v>
      </c>
      <c r="D24" s="13"/>
      <c r="E24" s="19"/>
      <c r="F24" s="24"/>
      <c r="G24" s="28"/>
      <c r="H24" s="24"/>
      <c r="I24" s="24"/>
      <c r="J24" s="20"/>
    </row>
    <row r="25" spans="2:10" x14ac:dyDescent="0.25">
      <c r="B25" s="1" t="s">
        <v>28</v>
      </c>
      <c r="C25" s="12">
        <v>1.1000000000000001</v>
      </c>
      <c r="D25" s="13"/>
      <c r="E25" s="19"/>
      <c r="F25" s="24"/>
      <c r="G25" s="28"/>
      <c r="H25" s="24"/>
      <c r="I25" s="24"/>
      <c r="J25" s="20"/>
    </row>
    <row r="26" spans="2:10" x14ac:dyDescent="0.25">
      <c r="B26" s="1" t="s">
        <v>29</v>
      </c>
      <c r="C26" s="12">
        <v>1.5</v>
      </c>
      <c r="D26" s="13"/>
      <c r="E26" s="19"/>
      <c r="F26" s="24"/>
      <c r="G26" s="28"/>
      <c r="H26" s="24"/>
      <c r="I26" s="24"/>
      <c r="J26" s="20"/>
    </row>
    <row r="27" spans="2:10" x14ac:dyDescent="0.25">
      <c r="B27" s="1" t="s">
        <v>33</v>
      </c>
      <c r="C27" s="23">
        <f>C24*C25*C26</f>
        <v>3.1680000000000001</v>
      </c>
      <c r="D27" s="13"/>
      <c r="E27" s="19"/>
      <c r="F27" s="24"/>
      <c r="G27" s="28"/>
      <c r="H27" s="24"/>
      <c r="I27" s="24"/>
      <c r="J27" s="20"/>
    </row>
    <row r="28" spans="2:10" x14ac:dyDescent="0.25">
      <c r="B28" s="1" t="s">
        <v>31</v>
      </c>
      <c r="C28" s="23">
        <f>IF(T&gt;=TC, C27, MIN( 1 + (C27-1)*TC/T, 3*C27))</f>
        <v>3.1680000000000001</v>
      </c>
      <c r="D28" s="13"/>
      <c r="E28" s="19"/>
      <c r="F28" s="24"/>
      <c r="G28" s="28"/>
      <c r="H28" s="24"/>
      <c r="I28" s="24"/>
      <c r="J28" s="20"/>
    </row>
    <row r="29" spans="2:10" x14ac:dyDescent="0.25">
      <c r="B29" s="1" t="s">
        <v>25</v>
      </c>
      <c r="C29" s="23">
        <f>IF(T&lt;=TA, C25*C26, IF(T&lt;=TB, C25*C26 + (C27-C25*C26)*(T-TA)/(TB-TA), C27))</f>
        <v>3.1680000000000001</v>
      </c>
      <c r="D29" s="13"/>
      <c r="E29" s="19"/>
      <c r="F29" s="24"/>
      <c r="G29" s="28"/>
      <c r="H29" s="24"/>
      <c r="I29" s="24"/>
      <c r="J29" s="20"/>
    </row>
    <row r="30" spans="2:10" x14ac:dyDescent="0.25">
      <c r="B30" s="1"/>
      <c r="C30" s="19"/>
      <c r="D30" s="13"/>
      <c r="E30" s="17"/>
      <c r="F30" s="13"/>
      <c r="G30" s="13"/>
      <c r="H30" s="16"/>
      <c r="I30" s="16"/>
      <c r="J30" s="2"/>
    </row>
    <row r="31" spans="2:10" x14ac:dyDescent="0.25">
      <c r="B31" s="1" t="s">
        <v>3</v>
      </c>
      <c r="C31" s="30">
        <v>0.84119999999999995</v>
      </c>
      <c r="D31" s="13" t="s">
        <v>2</v>
      </c>
      <c r="E31" s="13"/>
      <c r="F31" s="13"/>
      <c r="G31" s="13"/>
      <c r="H31" s="13"/>
      <c r="I31" s="13"/>
      <c r="J31" s="2"/>
    </row>
    <row r="32" spans="2:10" x14ac:dyDescent="0.25">
      <c r="B32" s="11" t="s">
        <v>20</v>
      </c>
      <c r="C32" s="18">
        <f>IF(T&lt;TA, C12/C15, IF(T&lt;TB, C12/(TA-TB) * (C22*(T-TA) + (TB-T)/C15), IF(T&lt;TC, C22*C12, IF(T&lt;TD, C22*C13*C21/T, C22*TD*C13*C21/T^2))))</f>
        <v>0.34662082738944372</v>
      </c>
      <c r="D32" s="13" t="s">
        <v>0</v>
      </c>
      <c r="E32" s="13"/>
      <c r="F32" s="18"/>
      <c r="G32" s="13"/>
      <c r="H32" s="13"/>
      <c r="I32" s="13"/>
      <c r="J32" s="2"/>
    </row>
    <row r="33" spans="2:10" x14ac:dyDescent="0.25">
      <c r="B33" s="11"/>
      <c r="C33" s="18">
        <f>C32*C4</f>
        <v>3.4003503166904432</v>
      </c>
      <c r="D33" s="13" t="s">
        <v>1</v>
      </c>
      <c r="E33" s="13"/>
      <c r="F33" s="13"/>
      <c r="G33" s="13"/>
      <c r="H33" s="13"/>
      <c r="I33" s="13"/>
      <c r="J33" s="2"/>
    </row>
    <row r="34" spans="2:10" x14ac:dyDescent="0.25">
      <c r="B34" s="11" t="s">
        <v>30</v>
      </c>
      <c r="C34" s="18">
        <f>MAX(C32/C29, 0.08*C5)</f>
        <v>0.10941313995878905</v>
      </c>
      <c r="D34" s="13" t="s">
        <v>0</v>
      </c>
      <c r="E34" s="13"/>
      <c r="F34" s="13"/>
      <c r="G34" s="13"/>
      <c r="H34" s="13"/>
      <c r="I34" s="13"/>
      <c r="J34" s="2"/>
    </row>
    <row r="35" spans="2:10" x14ac:dyDescent="0.25">
      <c r="B35" s="11"/>
      <c r="C35" s="18">
        <f>C34*C4</f>
        <v>1.0733429029957207</v>
      </c>
      <c r="D35" s="13" t="s">
        <v>1</v>
      </c>
      <c r="E35" s="13"/>
      <c r="F35" s="13"/>
      <c r="G35" s="13"/>
      <c r="H35" s="13"/>
      <c r="I35" s="13"/>
      <c r="J35" s="2"/>
    </row>
    <row r="36" spans="2:10" x14ac:dyDescent="0.25">
      <c r="B36" s="1"/>
      <c r="C36" s="13"/>
      <c r="D36" s="13"/>
      <c r="E36" s="13"/>
      <c r="F36" s="13"/>
      <c r="G36" s="13"/>
      <c r="H36" s="13"/>
      <c r="I36" s="13"/>
      <c r="J36" s="2"/>
    </row>
    <row r="37" spans="2:10" x14ac:dyDescent="0.25">
      <c r="B37" s="1" t="s">
        <v>23</v>
      </c>
      <c r="C37" s="15">
        <f>IF(AND(T&lt;MIN(2*TC, 1.2),G5 &gt; 2), 0.85, 1)</f>
        <v>0.85</v>
      </c>
      <c r="D37" s="13"/>
      <c r="E37" s="13"/>
      <c r="F37" s="13"/>
      <c r="G37" s="13"/>
      <c r="H37" s="13"/>
      <c r="I37" s="13"/>
      <c r="J37" s="2"/>
    </row>
    <row r="38" spans="2:10" ht="15.75" thickBot="1" x14ac:dyDescent="0.3">
      <c r="B38" s="4" t="s">
        <v>22</v>
      </c>
      <c r="C38" s="10">
        <f>C37*C34*G4</f>
        <v>93.001168964970702</v>
      </c>
      <c r="D38" s="5" t="s">
        <v>24</v>
      </c>
      <c r="E38" s="5"/>
      <c r="F38" s="5"/>
      <c r="G38" s="5"/>
      <c r="H38" s="5"/>
      <c r="I38" s="5"/>
      <c r="J38" s="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Loads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2025-08-12T13:22:21Z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