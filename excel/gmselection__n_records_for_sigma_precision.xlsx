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other/"/>
    </mc:Choice>
  </mc:AlternateContent>
  <xr:revisionPtr revIDLastSave="0" documentId="8_{81CD4189-BD4B-45EF-B2A3-5ACF17AF6EBF}" xr6:coauthVersionLast="47" xr6:coauthVersionMax="47" xr10:uidLastSave="{00000000-0000-0000-0000-000000000000}"/>
  <bookViews>
    <workbookView xWindow="-120" yWindow="-120" windowWidth="29040" windowHeight="15720" xr2:uid="{5C79C56C-0BC6-41FD-8762-25396BE4D55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7" i="1" s="1"/>
  <c r="D13" i="1" s="1"/>
  <c r="D10" i="1"/>
  <c r="F16" i="1" s="1"/>
  <c r="D9" i="1"/>
  <c r="F15" i="1" s="1"/>
  <c r="D12" i="1" l="1"/>
  <c r="D16" i="1" s="1"/>
  <c r="D15" i="1"/>
</calcChain>
</file>

<file path=xl/sharedStrings.xml><?xml version="1.0" encoding="utf-8"?>
<sst xmlns="http://schemas.openxmlformats.org/spreadsheetml/2006/main" count="16" uniqueCount="16">
  <si>
    <t>alpha</t>
  </si>
  <si>
    <t>1-alpha/2</t>
  </si>
  <si>
    <t>gamma</t>
  </si>
  <si>
    <t>&lt;=</t>
  </si>
  <si>
    <t>&gt;=</t>
  </si>
  <si>
    <t>n</t>
  </si>
  <si>
    <t>Chi2- 2.5%</t>
  </si>
  <si>
    <t>Chi2- 97.5%</t>
  </si>
  <si>
    <r>
      <t xml:space="preserve">&lt;-- gets compared to the upper limit of </t>
    </r>
    <r>
      <rPr>
        <sz val="11"/>
        <color theme="1"/>
        <rFont val="Aptos Narrow"/>
        <family val="2"/>
      </rPr>
      <t>Γ</t>
    </r>
  </si>
  <si>
    <r>
      <t xml:space="preserve">&lt;-- gets compared to the lower limit of </t>
    </r>
    <r>
      <rPr>
        <sz val="11"/>
        <color theme="1"/>
        <rFont val="Aptos Narrow"/>
        <family val="2"/>
      </rPr>
      <t>Γ</t>
    </r>
  </si>
  <si>
    <t>Γ_lower</t>
  </si>
  <si>
    <t>Γ_upper</t>
  </si>
  <si>
    <t>confidence</t>
  </si>
  <si>
    <t>%</t>
  </si>
  <si>
    <t>Γ_lower_est(n)</t>
  </si>
  <si>
    <t>Γ_upper_est(n)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</si>
</sst>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8" fontId="1" fillId="0" borderId="0" xfId="0" applyNumberFormat="1" applyFont="1"/>
  </cellXfs>
  <cellStyles count="1">
    <cellStyle name="Standard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AF66-05FD-4820-831B-FEAEC9033789}">
  <dimension ref="C3:F16"/>
  <sheetViews>
    <sheetView tabSelected="1" workbookViewId="0">
      <selection activeCell="D7" sqref="D7"/>
    </sheetView>
  </sheetViews>
  <sheetFormatPr baseColWidth="10" defaultRowHeight="15" x14ac:dyDescent="0.25"/>
  <cols>
    <col min="3" max="3" width="23.85546875" customWidth="1"/>
    <col min="4" max="4" width="12" bestFit="1" customWidth="1"/>
  </cols>
  <sheetData>
    <row r="3" spans="3:6" x14ac:dyDescent="0.25">
      <c r="C3" t="s">
        <v>2</v>
      </c>
      <c r="D3" s="1">
        <v>1.1000000000000001</v>
      </c>
    </row>
    <row r="4" spans="3:6" x14ac:dyDescent="0.25">
      <c r="C4" t="s">
        <v>12</v>
      </c>
      <c r="D4">
        <v>95</v>
      </c>
      <c r="E4" t="s">
        <v>13</v>
      </c>
    </row>
    <row r="5" spans="3:6" x14ac:dyDescent="0.25">
      <c r="C5" t="s">
        <v>0</v>
      </c>
      <c r="D5">
        <f>1-D4/100</f>
        <v>5.0000000000000044E-2</v>
      </c>
    </row>
    <row r="6" spans="3:6" x14ac:dyDescent="0.25">
      <c r="C6" t="s">
        <v>5</v>
      </c>
      <c r="D6">
        <v>234</v>
      </c>
    </row>
    <row r="7" spans="3:6" x14ac:dyDescent="0.25">
      <c r="C7" t="s">
        <v>1</v>
      </c>
      <c r="D7">
        <f>1-D5/2</f>
        <v>0.97499999999999998</v>
      </c>
    </row>
    <row r="9" spans="3:6" x14ac:dyDescent="0.25">
      <c r="C9" t="s">
        <v>10</v>
      </c>
      <c r="D9" s="1">
        <f>1/D3</f>
        <v>0.90909090909090906</v>
      </c>
    </row>
    <row r="10" spans="3:6" x14ac:dyDescent="0.25">
      <c r="C10" t="s">
        <v>11</v>
      </c>
      <c r="D10">
        <f>D3</f>
        <v>1.1000000000000001</v>
      </c>
    </row>
    <row r="12" spans="3:6" x14ac:dyDescent="0.25">
      <c r="C12" t="s">
        <v>6</v>
      </c>
      <c r="D12">
        <f>_xlfn.CHISQ.INV(D5/2,D6-1)</f>
        <v>192.61513462557028</v>
      </c>
      <c r="E12" t="s">
        <v>8</v>
      </c>
    </row>
    <row r="13" spans="3:6" x14ac:dyDescent="0.25">
      <c r="C13" t="s">
        <v>7</v>
      </c>
      <c r="D13">
        <f>_xlfn.CHISQ.INV(D7,D6-1)</f>
        <v>277.1711317557286</v>
      </c>
      <c r="E13" t="s">
        <v>9</v>
      </c>
    </row>
    <row r="15" spans="3:6" x14ac:dyDescent="0.25">
      <c r="C15" t="s">
        <v>14</v>
      </c>
      <c r="D15" s="2">
        <f>SQRT((D6-1)/D13)</f>
        <v>0.91686197778024059</v>
      </c>
      <c r="E15" t="s">
        <v>4</v>
      </c>
      <c r="F15">
        <f>D9</f>
        <v>0.90909090909090906</v>
      </c>
    </row>
    <row r="16" spans="3:6" x14ac:dyDescent="0.25">
      <c r="C16" t="s">
        <v>15</v>
      </c>
      <c r="D16" s="2">
        <f>SQRT((D6-1)/D12)</f>
        <v>1.0998482198608581</v>
      </c>
      <c r="E16" t="s">
        <v>3</v>
      </c>
      <c r="F16">
        <f>D10</f>
        <v>1.1000000000000001</v>
      </c>
    </row>
  </sheetData>
  <conditionalFormatting sqref="D15">
    <cfRule type="cellIs" dxfId="5" priority="4" operator="equal">
      <formula>$F$15</formula>
    </cfRule>
    <cfRule type="cellIs" dxfId="4" priority="5" operator="greaterThan">
      <formula>$F$15</formula>
    </cfRule>
    <cfRule type="cellIs" dxfId="3" priority="6" operator="lessThan">
      <formula>$F$15</formula>
    </cfRule>
  </conditionalFormatting>
  <conditionalFormatting sqref="D16">
    <cfRule type="cellIs" dxfId="2" priority="1" operator="greaterThan">
      <formula>$F$16</formula>
    </cfRule>
    <cfRule type="cellIs" dxfId="1" priority="2" operator="equal">
      <formula>$F$16</formula>
    </cfRule>
    <cfRule type="cellIs" dxfId="0" priority="3" operator="lessThan">
      <formula>$F$16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Props1.xml><?xml version="1.0" encoding="utf-8"?>
<ds:datastoreItem xmlns:ds="http://schemas.openxmlformats.org/officeDocument/2006/customXml" ds:itemID="{B73E7669-7276-4A74-B194-5AD5EC1A6D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C1902D-ABD6-4B0D-90C2-535918D01C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1F013B-FEB5-413E-B416-ADB340CADDFC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b8438a74-1baf-41ed-a764-db03f5cc8e77"/>
    <ds:schemaRef ds:uri="7f27ad31-1248-408e-b004-32fcbe738ee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2025-10-16T11:40:35Z</dcterms:created>
  <dcterms:modified xsi:type="dcterms:W3CDTF">2025-10-20T04:57:27Z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2025-10-20T04:56:42Z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35ce3c09-e4d3-4937-98ab-60497887b3e6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