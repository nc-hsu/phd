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ttn\Documents\phd\excel\code_checks\"/>
    </mc:Choice>
  </mc:AlternateContent>
  <xr:revisionPtr revIDLastSave="0" documentId="13_ncr:1_{693513D8-ECE4-4DA9-9BCF-E41C2EF6D753}" xr6:coauthVersionLast="47" xr6:coauthVersionMax="47" xr10:uidLastSave="{00000000-0000-0000-0000-000000000000}"/>
  <bookViews>
    <workbookView xWindow="28680" yWindow="-120" windowWidth="29040" windowHeight="15720" xr2:uid="{E5BC37C2-CD1C-46A4-BFF5-08D05161C9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" l="1"/>
  <c r="S30" i="1"/>
  <c r="Q30" i="1"/>
  <c r="N30" i="1"/>
  <c r="K30" i="1"/>
  <c r="H30" i="1"/>
  <c r="I30" i="1"/>
  <c r="J28" i="1"/>
  <c r="J30" i="1"/>
  <c r="Q25" i="1"/>
  <c r="P25" i="1"/>
  <c r="O25" i="1"/>
  <c r="N25" i="1"/>
  <c r="M25" i="1"/>
  <c r="L25" i="1"/>
  <c r="K25" i="1"/>
  <c r="J25" i="1"/>
  <c r="I25" i="1"/>
  <c r="H25" i="1"/>
  <c r="Q21" i="1"/>
  <c r="P21" i="1"/>
  <c r="O21" i="1"/>
  <c r="O22" i="1" s="1" a="1"/>
  <c r="O22" i="1" s="1"/>
  <c r="N21" i="1"/>
  <c r="M21" i="1"/>
  <c r="M22" i="1" s="1" a="1"/>
  <c r="M22" i="1" s="1"/>
  <c r="L21" i="1"/>
  <c r="L22" i="1" s="1" a="1"/>
  <c r="L22" i="1" s="1"/>
  <c r="K21" i="1"/>
  <c r="K22" i="1" s="1" a="1"/>
  <c r="K22" i="1" s="1"/>
  <c r="J21" i="1"/>
  <c r="J22" i="1" s="1" a="1"/>
  <c r="J22" i="1" s="1"/>
  <c r="P22" i="1" a="1"/>
  <c r="P22" i="1" s="1"/>
  <c r="Q22" i="1" a="1"/>
  <c r="Q22" i="1" s="1"/>
  <c r="I22" i="1" a="1"/>
  <c r="I22" i="1"/>
  <c r="I21" i="1"/>
  <c r="H21" i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 s="1"/>
  <c r="M5" i="1"/>
  <c r="M7" i="1"/>
  <c r="M10" i="1"/>
  <c r="M12" i="1"/>
  <c r="G5" i="1"/>
  <c r="I5" i="1"/>
  <c r="L5" i="1" s="1"/>
  <c r="F5" i="1"/>
  <c r="L6" i="1"/>
  <c r="M6" i="1" s="1"/>
  <c r="L7" i="1"/>
  <c r="L8" i="1"/>
  <c r="M8" i="1" s="1"/>
  <c r="L9" i="1"/>
  <c r="M9" i="1" s="1"/>
  <c r="L10" i="1"/>
  <c r="L11" i="1"/>
  <c r="M11" i="1" s="1"/>
  <c r="L12" i="1"/>
  <c r="L13" i="1"/>
  <c r="M13" i="1" s="1"/>
  <c r="L14" i="1"/>
  <c r="M14" i="1" s="1"/>
  <c r="G6" i="1"/>
  <c r="G7" i="1"/>
  <c r="G8" i="1"/>
  <c r="G9" i="1"/>
  <c r="G10" i="1"/>
  <c r="G11" i="1"/>
  <c r="G12" i="1"/>
  <c r="G13" i="1"/>
  <c r="G14" i="1"/>
  <c r="N22" i="1" l="1" a="1"/>
  <c r="N22" i="1" s="1"/>
  <c r="N28" i="1" s="1"/>
  <c r="Q28" i="1"/>
  <c r="Q27" i="1"/>
  <c r="H22" i="1" a="1"/>
  <c r="H22" i="1" s="1"/>
  <c r="P28" i="1"/>
  <c r="O28" i="1"/>
  <c r="L28" i="1"/>
  <c r="K27" i="1"/>
  <c r="J27" i="1"/>
  <c r="J5" i="1"/>
  <c r="G16" i="1"/>
  <c r="G17" i="1" s="1"/>
  <c r="J6" i="1"/>
  <c r="J14" i="1"/>
  <c r="J13" i="1"/>
  <c r="J12" i="1"/>
  <c r="J10" i="1"/>
  <c r="J11" i="1"/>
  <c r="J9" i="1"/>
  <c r="J8" i="1"/>
  <c r="J7" i="1"/>
  <c r="N27" i="1" l="1"/>
  <c r="I27" i="1"/>
  <c r="H27" i="1"/>
  <c r="H28" i="1"/>
  <c r="P27" i="1"/>
  <c r="P30" i="1" s="1"/>
  <c r="O27" i="1"/>
  <c r="O30" i="1" s="1"/>
  <c r="M27" i="1"/>
  <c r="M30" i="1" s="1"/>
  <c r="M28" i="1"/>
  <c r="L27" i="1"/>
  <c r="L30" i="1" s="1"/>
  <c r="K28" i="1"/>
  <c r="I28" i="1"/>
  <c r="M16" i="1"/>
  <c r="M17" i="1" s="1"/>
  <c r="J16" i="1"/>
  <c r="J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<sst xmlns="http://schemas.openxmlformats.org/spreadsheetml/2006/main" count="20" uniqueCount="16">
  <si>
    <t>Lin-Lin</t>
  </si>
  <si>
    <t>Lin-log</t>
  </si>
  <si>
    <t>SA</t>
  </si>
  <si>
    <t>1/981</t>
  </si>
  <si>
    <t>g</t>
  </si>
  <si>
    <t>log-log</t>
  </si>
  <si>
    <t>T</t>
  </si>
  <si>
    <t>PGA</t>
  </si>
  <si>
    <t>above T</t>
  </si>
  <si>
    <t>below T</t>
  </si>
  <si>
    <t>above SA</t>
  </si>
  <si>
    <t>below SA</t>
  </si>
  <si>
    <t>&lt;--- Matches the dfops.interpolate_for_sa function from pickagm</t>
  </si>
  <si>
    <t>First record from esm database</t>
  </si>
  <si>
    <t>AvgSA</t>
  </si>
  <si>
    <t>cm/s²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</si>
</sst>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"/>
  </numFmts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 Unicode MS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68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DD3C-2F6D-4D09-9D11-7E1ED49FA232}">
  <dimension ref="A3:AL41"/>
  <sheetViews>
    <sheetView tabSelected="1" workbookViewId="0">
      <selection activeCell="S31" sqref="S31"/>
    </sheetView>
  </sheetViews>
  <sheetFormatPr baseColWidth="10" defaultRowHeight="15"/>
  <cols>
    <col min="19" max="19" width="12.5703125" bestFit="1" customWidth="1"/>
  </cols>
  <sheetData>
    <row r="3" spans="1:38">
      <c r="B3" t="s">
        <v>13</v>
      </c>
      <c r="Y3">
        <v>6.1499999999999999E-2</v>
      </c>
      <c r="Z3">
        <v>3.8448000000000003E-2</v>
      </c>
      <c r="AA3">
        <v>3.5439999999999999E-2</v>
      </c>
      <c r="AB3">
        <v>3.1432000000000002E-2</v>
      </c>
      <c r="AC3">
        <v>1.3838E-2</v>
      </c>
      <c r="AD3">
        <v>1.3925E-2</v>
      </c>
      <c r="AE3">
        <v>1.329E-2</v>
      </c>
      <c r="AF3">
        <v>1.1582E-2</v>
      </c>
      <c r="AG3">
        <v>6.8129999999999996E-3</v>
      </c>
      <c r="AH3">
        <v>4.4739999999999997E-3</v>
      </c>
      <c r="AI3">
        <v>2.934E-3</v>
      </c>
      <c r="AJ3">
        <v>2.2880000000000001E-3</v>
      </c>
      <c r="AK3">
        <v>1.7799999999999999E-3</v>
      </c>
      <c r="AL3">
        <v>1.5009999999999999E-3</v>
      </c>
    </row>
    <row r="4" spans="1:38">
      <c r="B4" t="s">
        <v>6</v>
      </c>
      <c r="C4" t="s">
        <v>2</v>
      </c>
      <c r="G4" t="s">
        <v>0</v>
      </c>
      <c r="J4" t="s">
        <v>1</v>
      </c>
      <c r="M4" t="s">
        <v>5</v>
      </c>
    </row>
    <row r="5" spans="1:38">
      <c r="A5" t="s">
        <v>7</v>
      </c>
      <c r="B5">
        <v>1E-3</v>
      </c>
      <c r="C5">
        <v>0.17398</v>
      </c>
      <c r="F5">
        <f>B5</f>
        <v>1E-3</v>
      </c>
      <c r="G5">
        <f>_xlfn.FORECAST.LINEAR(F5,$C$5:$C$41,$B$5:$B$41)</f>
        <v>0.27891254868126159</v>
      </c>
      <c r="I5">
        <f>B5</f>
        <v>1E-3</v>
      </c>
      <c r="J5" t="e">
        <f>_xlfn.FORECAST.LINEAR(I5,$D$5:$D$41,$B$5:$B$41)</f>
        <v>#DIV/0!</v>
      </c>
      <c r="L5">
        <f>LN(I5)</f>
        <v>-6.9077552789821368</v>
      </c>
      <c r="M5" t="e">
        <f>_xlfn.FORECAST.LINEAR(L5,$D$5:$D$41,#REF!)</f>
        <v>#REF!</v>
      </c>
    </row>
    <row r="6" spans="1:38">
      <c r="B6">
        <v>0.01</v>
      </c>
      <c r="C6">
        <v>0.17414099999999999</v>
      </c>
      <c r="F6">
        <v>3.3000000000000002E-2</v>
      </c>
      <c r="G6">
        <f t="shared" ref="G6:G14" si="0">_xlfn.FORECAST.LINEAR(F6,$C$6:$C$41,$B$6:$B$41)</f>
        <v>0.28228228658363019</v>
      </c>
      <c r="I6">
        <v>3.3000000000000002E-2</v>
      </c>
      <c r="J6" t="e">
        <f t="shared" ref="J6:J14" si="1">_xlfn.FORECAST.LINEAR(I6,$D$6:$D$41,$B$6:$B$41)</f>
        <v>#DIV/0!</v>
      </c>
      <c r="L6">
        <f t="shared" ref="L6:L14" si="2">LN(I6)</f>
        <v>-3.4112477175156566</v>
      </c>
      <c r="M6" t="e">
        <f>_xlfn.FORECAST.LINEAR(L6,$D$5:$D$41,#REF!)</f>
        <v>#REF!</v>
      </c>
    </row>
    <row r="7" spans="1:38">
      <c r="B7">
        <v>2.5000000000000001E-2</v>
      </c>
      <c r="C7">
        <v>0.17591200000000001</v>
      </c>
      <c r="F7">
        <v>0.66</v>
      </c>
      <c r="G7">
        <f t="shared" si="0"/>
        <v>0.25496669255364329</v>
      </c>
      <c r="I7">
        <v>0.66</v>
      </c>
      <c r="J7" t="e">
        <f t="shared" si="1"/>
        <v>#DIV/0!</v>
      </c>
      <c r="L7">
        <f t="shared" si="2"/>
        <v>-0.41551544396166579</v>
      </c>
      <c r="M7" t="e">
        <f>_xlfn.FORECAST.LINEAR(L7,$D$5:$D$41,#REF!)</f>
        <v>#REF!</v>
      </c>
    </row>
    <row r="8" spans="1:38">
      <c r="B8">
        <v>0.04</v>
      </c>
      <c r="C8">
        <v>0.18118500000000001</v>
      </c>
      <c r="F8">
        <v>0.99</v>
      </c>
      <c r="G8">
        <f t="shared" si="0"/>
        <v>0.24059006411680811</v>
      </c>
      <c r="I8">
        <v>0.99</v>
      </c>
      <c r="J8" t="e">
        <f t="shared" si="1"/>
        <v>#DIV/0!</v>
      </c>
      <c r="L8">
        <f t="shared" si="2"/>
        <v>-1.0050335853501451E-2</v>
      </c>
      <c r="M8" t="e">
        <f>_xlfn.FORECAST.LINEAR(L8,$D$5:$D$41,#REF!)</f>
        <v>#REF!</v>
      </c>
    </row>
    <row r="9" spans="1:38">
      <c r="B9">
        <v>0.05</v>
      </c>
      <c r="C9">
        <v>0.17679600000000001</v>
      </c>
      <c r="F9">
        <v>1.33</v>
      </c>
      <c r="G9">
        <f t="shared" si="0"/>
        <v>0.22577778027279607</v>
      </c>
      <c r="I9">
        <v>1.33</v>
      </c>
      <c r="J9" t="e">
        <f t="shared" si="1"/>
        <v>#DIV/0!</v>
      </c>
      <c r="L9">
        <f t="shared" si="2"/>
        <v>0.28517894223366247</v>
      </c>
      <c r="M9" t="e">
        <f>_xlfn.FORECAST.LINEAR(L9,$D$5:$D$41,#REF!)</f>
        <v>#REF!</v>
      </c>
    </row>
    <row r="10" spans="1:38">
      <c r="B10">
        <v>7.0000000000000007E-2</v>
      </c>
      <c r="C10">
        <v>0.193824</v>
      </c>
      <c r="F10">
        <v>1.67</v>
      </c>
      <c r="G10">
        <f t="shared" si="0"/>
        <v>0.21096549642878404</v>
      </c>
      <c r="I10">
        <v>1.67</v>
      </c>
      <c r="J10" t="e">
        <f t="shared" si="1"/>
        <v>#DIV/0!</v>
      </c>
      <c r="L10">
        <f t="shared" si="2"/>
        <v>0.51282362642866375</v>
      </c>
      <c r="M10" t="e">
        <f>_xlfn.FORECAST.LINEAR(L10,$D$5:$D$41,#REF!)</f>
        <v>#REF!</v>
      </c>
    </row>
    <row r="11" spans="1:38">
      <c r="B11">
        <v>0.1</v>
      </c>
      <c r="C11">
        <v>0.28521400000000002</v>
      </c>
      <c r="F11">
        <v>2</v>
      </c>
      <c r="G11">
        <f t="shared" si="0"/>
        <v>0.19658886799194886</v>
      </c>
      <c r="I11">
        <v>2</v>
      </c>
      <c r="J11" t="e">
        <f t="shared" si="1"/>
        <v>#DIV/0!</v>
      </c>
      <c r="L11">
        <f t="shared" si="2"/>
        <v>0.69314718055994529</v>
      </c>
      <c r="M11" t="e">
        <f>_xlfn.FORECAST.LINEAR(L11,$D$5:$D$41,#REF!)</f>
        <v>#REF!</v>
      </c>
    </row>
    <row r="12" spans="1:38">
      <c r="B12">
        <v>0.15</v>
      </c>
      <c r="C12">
        <v>0.390129</v>
      </c>
      <c r="F12">
        <v>2.33</v>
      </c>
      <c r="G12">
        <f t="shared" si="0"/>
        <v>0.18221223955511362</v>
      </c>
      <c r="I12">
        <v>2.33</v>
      </c>
      <c r="J12" t="e">
        <f t="shared" si="1"/>
        <v>#DIV/0!</v>
      </c>
      <c r="L12">
        <f t="shared" si="2"/>
        <v>0.84586826757760925</v>
      </c>
      <c r="M12" t="e">
        <f>_xlfn.FORECAST.LINEAR(L12,$D$5:$D$41,#REF!)</f>
        <v>#REF!</v>
      </c>
    </row>
    <row r="13" spans="1:38">
      <c r="B13">
        <v>0.2</v>
      </c>
      <c r="C13">
        <v>0.60885400000000001</v>
      </c>
      <c r="F13">
        <v>2.66</v>
      </c>
      <c r="G13">
        <f t="shared" si="0"/>
        <v>0.16783561111827844</v>
      </c>
      <c r="I13">
        <v>2.66</v>
      </c>
      <c r="J13" t="e">
        <f t="shared" si="1"/>
        <v>#DIV/0!</v>
      </c>
      <c r="L13">
        <f t="shared" si="2"/>
        <v>0.97832612279360776</v>
      </c>
      <c r="M13" t="e">
        <f>_xlfn.FORECAST.LINEAR(L13,$D$5:$D$41,#REF!)</f>
        <v>#REF!</v>
      </c>
    </row>
    <row r="14" spans="1:38">
      <c r="B14">
        <v>0.25</v>
      </c>
      <c r="C14">
        <v>0.62071500000000002</v>
      </c>
      <c r="F14">
        <v>3</v>
      </c>
      <c r="G14">
        <f t="shared" si="0"/>
        <v>0.1530233272742664</v>
      </c>
      <c r="I14">
        <v>3</v>
      </c>
      <c r="J14" t="e">
        <f t="shared" si="1"/>
        <v>#DIV/0!</v>
      </c>
      <c r="L14">
        <f t="shared" si="2"/>
        <v>1.0986122886681098</v>
      </c>
      <c r="M14" t="e">
        <f>_xlfn.FORECAST.LINEAR(L14,$D$5:$D$41,#REF!)</f>
        <v>#REF!</v>
      </c>
    </row>
    <row r="15" spans="1:38">
      <c r="B15">
        <v>0.3</v>
      </c>
      <c r="C15">
        <v>0.618726</v>
      </c>
    </row>
    <row r="16" spans="1:38">
      <c r="B16">
        <v>0.35</v>
      </c>
      <c r="C16">
        <v>0.45144099999999998</v>
      </c>
      <c r="G16">
        <f>(PRODUCT(G5:G14))^(1/10)</f>
        <v>0.21505936904356945</v>
      </c>
      <c r="J16" t="e">
        <f>EXP(SUM(J5:J14)/10)</f>
        <v>#DIV/0!</v>
      </c>
      <c r="M16" t="e">
        <f>EXP(SUM(M5:M14)/10)</f>
        <v>#REF!</v>
      </c>
    </row>
    <row r="17" spans="2:21">
      <c r="B17">
        <v>0.4</v>
      </c>
      <c r="C17">
        <v>0.63053499999999996</v>
      </c>
      <c r="F17" t="s">
        <v>3</v>
      </c>
      <c r="G17">
        <f>G16/981</f>
        <v>2.192246371494082E-4</v>
      </c>
      <c r="H17" t="s">
        <v>4</v>
      </c>
      <c r="J17" t="e">
        <f>J16/981</f>
        <v>#DIV/0!</v>
      </c>
      <c r="K17" t="s">
        <v>4</v>
      </c>
      <c r="M17" t="e">
        <f>M16/981</f>
        <v>#REF!</v>
      </c>
    </row>
    <row r="18" spans="2:21">
      <c r="B18">
        <v>0.45</v>
      </c>
      <c r="C18">
        <v>0.39304899999999998</v>
      </c>
      <c r="N18" t="s">
        <v>4</v>
      </c>
    </row>
    <row r="19" spans="2:21">
      <c r="B19">
        <v>0.5</v>
      </c>
      <c r="C19">
        <v>0.23993300000000001</v>
      </c>
    </row>
    <row r="20" spans="2:21">
      <c r="B20">
        <v>0.6</v>
      </c>
      <c r="C20">
        <v>0.22556100000000001</v>
      </c>
      <c r="G20" t="s">
        <v>6</v>
      </c>
      <c r="H20">
        <v>1E-3</v>
      </c>
      <c r="I20">
        <v>0.33300000000000002</v>
      </c>
      <c r="J20">
        <v>0.66700000000000004</v>
      </c>
      <c r="K20">
        <v>1</v>
      </c>
      <c r="L20">
        <v>1.333</v>
      </c>
      <c r="M20">
        <v>1.667</v>
      </c>
      <c r="N20">
        <v>2</v>
      </c>
      <c r="O20">
        <v>2.3330000000000002</v>
      </c>
      <c r="P20">
        <v>2.6669999999999998</v>
      </c>
      <c r="Q20">
        <v>3</v>
      </c>
    </row>
    <row r="21" spans="2:21">
      <c r="B21">
        <v>0.7</v>
      </c>
      <c r="C21">
        <v>0.20964099999999999</v>
      </c>
      <c r="G21" t="s">
        <v>8</v>
      </c>
      <c r="H21" s="3">
        <f>B5</f>
        <v>1E-3</v>
      </c>
      <c r="I21" s="3">
        <f>B16</f>
        <v>0.35</v>
      </c>
      <c r="J21" s="3">
        <f>B21</f>
        <v>0.7</v>
      </c>
      <c r="K21" s="3">
        <f>B25</f>
        <v>1</v>
      </c>
      <c r="L21" s="3">
        <f>B27</f>
        <v>1.4</v>
      </c>
      <c r="M21" s="3">
        <f>B29</f>
        <v>1.8</v>
      </c>
      <c r="N21" s="3">
        <f>B30</f>
        <v>2</v>
      </c>
      <c r="O21" s="3">
        <f>B31</f>
        <v>2.5</v>
      </c>
      <c r="P21" s="3">
        <f>B32</f>
        <v>3</v>
      </c>
      <c r="Q21" s="3">
        <f>B32</f>
        <v>3</v>
      </c>
    </row>
    <row r="22" spans="2:21">
      <c r="B22">
        <v>0.75</v>
      </c>
      <c r="C22">
        <v>0.21190500000000001</v>
      </c>
      <c r="G22" t="s">
        <v>10</v>
      </c>
      <c r="H22" s="2" cm="1">
        <f t="array" ref="H22">INDEX($C$5:$C$41, _xlfn.XMATCH(H21, $B$5:$B$41, 1))</f>
        <v>0.17398</v>
      </c>
      <c r="I22" s="2" cm="1">
        <f t="array" ref="I22">INDEX($C$5:$C$41, _xlfn.XMATCH(I21, $B$5:$B$41, 1))</f>
        <v>0.45144099999999998</v>
      </c>
      <c r="J22" s="2" cm="1">
        <f t="array" ref="J22">INDEX($C$5:$C$41, _xlfn.XMATCH(J21, $B$5:$B$41, 1))</f>
        <v>0.20964099999999999</v>
      </c>
      <c r="K22" s="2" cm="1">
        <f t="array" ref="K22">INDEX($C$5:$C$41, _xlfn.XMATCH(K21, $B$5:$B$41, 1))</f>
        <v>0.180753</v>
      </c>
      <c r="L22" s="2" cm="1">
        <f t="array" ref="L22">INDEX($C$5:$C$41, _xlfn.XMATCH(L21, $B$5:$B$41, 1))</f>
        <v>6.4885999999999999E-2</v>
      </c>
      <c r="M22" s="2" cm="1">
        <f t="array" ref="M22">INDEX($C$5:$C$41, _xlfn.XMATCH(M21, $B$5:$B$41, 1))</f>
        <v>3.8448000000000003E-2</v>
      </c>
      <c r="N22" s="2" cm="1">
        <f t="array" ref="N22">INDEX($C$5:$C$41, _xlfn.XMATCH(N21, $B$5:$B$41, 1))</f>
        <v>3.5439999999999999E-2</v>
      </c>
      <c r="O22" s="2" cm="1">
        <f t="array" ref="O22">INDEX($C$5:$C$41, _xlfn.XMATCH(O21, $B$5:$B$41, 1))</f>
        <v>3.1432000000000002E-2</v>
      </c>
      <c r="P22" s="2" cm="1">
        <f t="array" ref="P22">INDEX($C$5:$C$41, _xlfn.XMATCH(P21, $B$5:$B$41, 1))</f>
        <v>1.3838E-2</v>
      </c>
      <c r="Q22" s="2" cm="1">
        <f t="array" ref="Q22">INDEX($C$5:$C$41, _xlfn.XMATCH(Q21, $B$5:$B$41, 1))</f>
        <v>1.3838E-2</v>
      </c>
    </row>
    <row r="23" spans="2:21">
      <c r="B23">
        <v>0.8</v>
      </c>
      <c r="C23">
        <v>0.21479400000000001</v>
      </c>
    </row>
    <row r="24" spans="2:21">
      <c r="B24">
        <v>0.9</v>
      </c>
      <c r="C24">
        <v>0.21446000000000001</v>
      </c>
      <c r="G24" t="s">
        <v>9</v>
      </c>
      <c r="H24" s="3" cm="1">
        <f t="array" ref="H24">INDEX($B$5:$B$41, _xlfn.XMATCH(H20, $B$5:$B$41, -1))</f>
        <v>1E-3</v>
      </c>
      <c r="I24" s="3" cm="1">
        <f t="array" ref="I24">INDEX($B$5:$B$41, _xlfn.XMATCH(I20, $B$5:$B$41, -1))</f>
        <v>0.3</v>
      </c>
      <c r="J24" s="3" cm="1">
        <f t="array" ref="J24">INDEX($B$5:$B$41, _xlfn.XMATCH(J20, $B$5:$B$41, -1))</f>
        <v>0.6</v>
      </c>
      <c r="K24" s="3" cm="1">
        <f t="array" ref="K24">INDEX($B$5:$B$41, _xlfn.XMATCH(K20, $B$5:$B$41, -1))</f>
        <v>1</v>
      </c>
      <c r="L24" s="3" cm="1">
        <f t="array" ref="L24">INDEX($B$5:$B$41, _xlfn.XMATCH(L20, $B$5:$B$41, -1))</f>
        <v>1.2</v>
      </c>
      <c r="M24" s="3" cm="1">
        <f t="array" ref="M24">INDEX($B$5:$B$41, _xlfn.XMATCH(M20, $B$5:$B$41, -1))</f>
        <v>1.6</v>
      </c>
      <c r="N24" s="3" cm="1">
        <f t="array" ref="N24">INDEX($B$5:$B$41, _xlfn.XMATCH(N20, $B$5:$B$41, -1))</f>
        <v>2</v>
      </c>
      <c r="O24" s="3" cm="1">
        <f t="array" ref="O24">INDEX($B$5:$B$41, _xlfn.XMATCH(O20, $B$5:$B$41, -1))</f>
        <v>2</v>
      </c>
      <c r="P24" s="3" cm="1">
        <f t="array" ref="P24">INDEX($B$5:$B$41, _xlfn.XMATCH(P20, $B$5:$B$41, -1))</f>
        <v>2.5</v>
      </c>
      <c r="Q24" s="3" cm="1">
        <f t="array" ref="Q24">INDEX($B$5:$B$41, _xlfn.XMATCH(Q20, $B$5:$B$41, -1))</f>
        <v>3</v>
      </c>
    </row>
    <row r="25" spans="2:21">
      <c r="B25">
        <v>1</v>
      </c>
      <c r="C25">
        <v>0.180753</v>
      </c>
      <c r="G25" t="s">
        <v>11</v>
      </c>
      <c r="H25" s="3">
        <f>C5</f>
        <v>0.17398</v>
      </c>
      <c r="I25" s="3">
        <f>C15</f>
        <v>0.618726</v>
      </c>
      <c r="J25" s="3">
        <f>C20</f>
        <v>0.22556100000000001</v>
      </c>
      <c r="K25" s="3">
        <f>C25</f>
        <v>0.180753</v>
      </c>
      <c r="L25" s="3">
        <f>C26</f>
        <v>0.10779</v>
      </c>
      <c r="M25" s="3">
        <f>C28</f>
        <v>6.1499999999999999E-2</v>
      </c>
      <c r="N25" s="3">
        <f>C30</f>
        <v>3.5439999999999999E-2</v>
      </c>
      <c r="O25" s="3">
        <f>C30</f>
        <v>3.5439999999999999E-2</v>
      </c>
      <c r="P25" s="3">
        <f>C31</f>
        <v>3.1432000000000002E-2</v>
      </c>
      <c r="Q25" s="3">
        <f>C32</f>
        <v>1.3838E-2</v>
      </c>
    </row>
    <row r="26" spans="2:21">
      <c r="B26">
        <v>1.2</v>
      </c>
      <c r="C26">
        <v>0.10779</v>
      </c>
    </row>
    <row r="27" spans="2:21">
      <c r="B27">
        <v>1.4</v>
      </c>
      <c r="C27">
        <v>6.4885999999999999E-2</v>
      </c>
      <c r="H27" t="e">
        <f>((LN(H22)-LN(H25))/(LN(H21)-LN(H24)))*(LN(H20)-LN(H24)) + LN(H25)</f>
        <v>#DIV/0!</v>
      </c>
      <c r="I27">
        <f>((LN(I22)-LN(I25))/(LN(I21)-LN(I24)))*(LN(I20)-LN(I24)) + LN(I25)</f>
        <v>-0.69349523940381785</v>
      </c>
      <c r="J27">
        <f t="shared" ref="J27:Q27" si="3">((LN(J22)-LN(J25))/(LN(J21)-LN(J24)))*(LN(J20)-LN(J24)) + LN(J25)</f>
        <v>-1.5394294576490619</v>
      </c>
      <c r="K27" t="e">
        <f t="shared" si="3"/>
        <v>#DIV/0!</v>
      </c>
      <c r="L27">
        <f t="shared" si="3"/>
        <v>-2.5736547682110413</v>
      </c>
      <c r="M27">
        <f t="shared" si="3"/>
        <v>-2.9523178307747382</v>
      </c>
      <c r="N27" t="e">
        <f t="shared" si="3"/>
        <v>#DIV/0!</v>
      </c>
      <c r="O27">
        <f t="shared" si="3"/>
        <v>-3.4227451048864648</v>
      </c>
      <c r="P27">
        <f t="shared" si="3"/>
        <v>-3.7509007908381786</v>
      </c>
      <c r="Q27" t="e">
        <f t="shared" si="3"/>
        <v>#DIV/0!</v>
      </c>
    </row>
    <row r="28" spans="2:21">
      <c r="B28">
        <v>1.6</v>
      </c>
      <c r="C28">
        <v>6.1499999999999999E-2</v>
      </c>
      <c r="H28" t="e">
        <f>((H22-H25)/(H21-H24))*(H20-H24) + H25</f>
        <v>#DIV/0!</v>
      </c>
      <c r="I28">
        <f>((I22-I25)/(I21-I24))*(I20-I24) + I25</f>
        <v>0.50831789999999988</v>
      </c>
      <c r="J28">
        <f>((J22-J25)/(J21-J24))*(J20-J24) + J25</f>
        <v>0.21489459999999999</v>
      </c>
      <c r="K28" t="e">
        <f t="shared" ref="K28:Q28" si="4">((K22-K25)/(K21-K24))*(K20-K24) + K25</f>
        <v>#DIV/0!</v>
      </c>
      <c r="L28">
        <f t="shared" si="4"/>
        <v>7.9258839999999997E-2</v>
      </c>
      <c r="M28">
        <f t="shared" si="4"/>
        <v>5.3777580000000005E-2</v>
      </c>
      <c r="N28" t="e">
        <f t="shared" si="4"/>
        <v>#DIV/0!</v>
      </c>
      <c r="O28">
        <f t="shared" si="4"/>
        <v>3.2770672000000001E-2</v>
      </c>
      <c r="P28">
        <f t="shared" si="4"/>
        <v>2.555560400000001E-2</v>
      </c>
      <c r="Q28" t="e">
        <f t="shared" si="4"/>
        <v>#DIV/0!</v>
      </c>
    </row>
    <row r="29" spans="2:21">
      <c r="B29">
        <v>1.8</v>
      </c>
      <c r="C29">
        <v>3.8448000000000003E-2</v>
      </c>
      <c r="S29" t="s">
        <v>14</v>
      </c>
    </row>
    <row r="30" spans="2:21">
      <c r="B30">
        <v>2</v>
      </c>
      <c r="C30">
        <v>3.5439999999999999E-2</v>
      </c>
      <c r="H30">
        <f>H22</f>
        <v>0.17398</v>
      </c>
      <c r="I30">
        <f>EXP(I27)</f>
        <v>0.49982600086078993</v>
      </c>
      <c r="J30">
        <f>EXP(J27)</f>
        <v>0.21450344982373487</v>
      </c>
      <c r="K30">
        <f>K22</f>
        <v>0.180753</v>
      </c>
      <c r="L30">
        <f t="shared" ref="L30:P30" si="5">EXP(L27)</f>
        <v>7.6256336278626366E-2</v>
      </c>
      <c r="M30">
        <f t="shared" si="5"/>
        <v>5.2218531852018281E-2</v>
      </c>
      <c r="N30">
        <f>N22</f>
        <v>3.5439999999999999E-2</v>
      </c>
      <c r="O30">
        <f t="shared" si="5"/>
        <v>3.2622759015242322E-2</v>
      </c>
      <c r="P30">
        <f t="shared" si="5"/>
        <v>2.3496570824576388E-2</v>
      </c>
      <c r="Q30">
        <f>Q22</f>
        <v>1.3838E-2</v>
      </c>
      <c r="S30">
        <f>PRODUCT(H30:Q30)^(1/10)</f>
        <v>7.4182775324662734E-2</v>
      </c>
      <c r="T30" t="s">
        <v>15</v>
      </c>
      <c r="U30" t="s">
        <v>12</v>
      </c>
    </row>
    <row r="31" spans="2:21">
      <c r="B31">
        <v>2.5</v>
      </c>
      <c r="C31">
        <v>3.1432000000000002E-2</v>
      </c>
      <c r="S31" s="4">
        <f>S30/981</f>
        <v>7.5619546712194432E-5</v>
      </c>
      <c r="T31" t="s">
        <v>4</v>
      </c>
    </row>
    <row r="32" spans="2:21">
      <c r="B32">
        <v>3</v>
      </c>
      <c r="C32">
        <v>1.3838E-2</v>
      </c>
    </row>
    <row r="33" spans="2:8">
      <c r="B33">
        <v>3.5</v>
      </c>
      <c r="C33">
        <v>1.3925E-2</v>
      </c>
      <c r="H33" s="1"/>
    </row>
    <row r="34" spans="2:8">
      <c r="B34">
        <v>4</v>
      </c>
      <c r="C34">
        <v>1.329E-2</v>
      </c>
    </row>
    <row r="35" spans="2:8">
      <c r="B35">
        <v>4.5</v>
      </c>
      <c r="C35">
        <v>1.1582E-2</v>
      </c>
    </row>
    <row r="36" spans="2:8">
      <c r="B36">
        <v>5</v>
      </c>
      <c r="C36">
        <v>6.8129999999999996E-3</v>
      </c>
    </row>
    <row r="37" spans="2:8">
      <c r="B37">
        <v>6</v>
      </c>
      <c r="C37">
        <v>4.4739999999999997E-3</v>
      </c>
    </row>
    <row r="38" spans="2:8">
      <c r="B38">
        <v>7</v>
      </c>
      <c r="C38">
        <v>2.934E-3</v>
      </c>
    </row>
    <row r="39" spans="2:8">
      <c r="B39">
        <v>8</v>
      </c>
      <c r="C39">
        <v>2.2880000000000001E-3</v>
      </c>
    </row>
    <row r="40" spans="2:8">
      <c r="B40">
        <v>9</v>
      </c>
      <c r="C40">
        <v>1.7799999999999999E-3</v>
      </c>
    </row>
    <row r="41" spans="2:8">
      <c r="B41">
        <v>10</v>
      </c>
      <c r="C41">
        <v>1.5009999999999999E-3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Clemett</dc:creator>
  <cp:lastModifiedBy>Nic Clemett</cp:lastModifiedBy>
  <dcterms:created xsi:type="dcterms:W3CDTF">2026-02-24T06:53:21Z</dcterms:created>
  <dcterms:modified xsi:type="dcterms:W3CDTF">2026-02-27T12:25:05Z</dcterms:modified>
</cp:coreProperties>
</file>