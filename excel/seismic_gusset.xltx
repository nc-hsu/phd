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hsuhhde-my.sharepoint.com/personal/clemettn_hsu_hamburg/Documents/01_arbeit/14_PhD/Berechnungen/"/>
    </mc:Choice>
  </mc:AlternateContent>
  <xr:revisionPtr revIDLastSave="0" documentId="13_ncr:3_{6D663B86-8CCE-40EE-9714-BE9BAEAE2A96}" xr6:coauthVersionLast="47" xr6:coauthVersionMax="47" xr10:uidLastSave="{00000000-0000-0000-0000-000000000000}"/>
  <bookViews>
    <workbookView xWindow="-120" yWindow="-120" windowWidth="29040" windowHeight="15720" xr2:uid="{B7745305-D13D-4416-AAFF-F513F51CFE27}"/>
  </bookViews>
  <sheets>
    <sheet name="non_seismic" sheetId="2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6" i="2" l="1"/>
  <c r="C34" i="2"/>
  <c r="C29" i="2"/>
  <c r="H8" i="2"/>
  <c r="H6" i="2"/>
  <c r="H10" i="2"/>
  <c r="G7" i="2"/>
  <c r="G11" i="2"/>
  <c r="G8" i="2"/>
  <c r="C15" i="2"/>
  <c r="G10" i="2"/>
  <c r="G6" i="2"/>
  <c r="G12" i="2"/>
  <c r="C48" i="2"/>
  <c r="D48" i="2" s="1"/>
  <c r="C45" i="2"/>
  <c r="C44" i="2"/>
  <c r="D42" i="2"/>
  <c r="D41" i="2"/>
  <c r="D30" i="2"/>
  <c r="C25" i="2"/>
  <c r="C20" i="2"/>
  <c r="C18" i="2"/>
  <c r="C21" i="2" s="1"/>
  <c r="C14" i="2"/>
  <c r="H7" i="2" l="1"/>
  <c r="H12" i="2"/>
  <c r="H11" i="2"/>
  <c r="C22" i="2"/>
  <c r="C23" i="2"/>
  <c r="C19" i="2"/>
  <c r="C33" i="2" l="1"/>
  <c r="C27" i="2" l="1"/>
  <c r="C35" i="2"/>
  <c r="C32" i="2"/>
  <c r="C31" i="2" s="1"/>
  <c r="C28" i="2"/>
  <c r="D33" i="2"/>
  <c r="D27" i="2" s="1"/>
  <c r="D26" i="2" l="1"/>
  <c r="D25" i="2" s="1"/>
  <c r="C38" i="2"/>
  <c r="D34" i="2"/>
  <c r="D35" i="2" s="1"/>
  <c r="C36" i="2"/>
  <c r="D28" i="2"/>
  <c r="D29" i="2" s="1"/>
  <c r="C39" i="2"/>
  <c r="D32" i="2"/>
  <c r="D38" i="2" s="1"/>
  <c r="C30" i="2" l="1"/>
  <c r="D36" i="2"/>
  <c r="D31" i="2"/>
  <c r="D39" i="2"/>
</calcChain>
</file>

<file path=xl/sharedStrings.xml><?xml version="1.0" encoding="utf-8"?>
<sst xmlns="http://schemas.openxmlformats.org/spreadsheetml/2006/main" count="49" uniqueCount="46">
  <si>
    <t>Wd</t>
  </si>
  <si>
    <t>α</t>
  </si>
  <si>
    <t>β</t>
  </si>
  <si>
    <t>h_b</t>
  </si>
  <si>
    <t>h_c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</si>
  <si>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</si>
  <si>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</si>
  <si>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</si>
  <si>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</si>
  <si>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</si>
  <si>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</si>
  <si>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</si>
  <si>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</si>
  <si>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</si>
  <si>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</si>
  <si>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</si>
  <si>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</si>
  <si>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x</t>
  </si>
  <si>
    <t>z</t>
  </si>
  <si>
    <t>brace_overlap</t>
  </si>
  <si>
    <t>connection_length</t>
  </si>
  <si>
    <t>end_offset</t>
  </si>
  <si>
    <t>cleat_width</t>
  </si>
  <si>
    <t>edge_offset</t>
  </si>
  <si>
    <t>width leading edge</t>
  </si>
  <si>
    <t>alpha_crit_whitmore</t>
  </si>
  <si>
    <t>alpha_crit_leading</t>
  </si>
  <si>
    <t>beam</t>
  </si>
  <si>
    <t>column</t>
  </si>
  <si>
    <t>brace</t>
  </si>
  <si>
    <t>anchor</t>
  </si>
  <si>
    <t>whitmore</t>
  </si>
  <si>
    <t>leading edge</t>
  </si>
  <si>
    <t>cleat width</t>
  </si>
  <si>
    <t>x anchor</t>
  </si>
  <si>
    <t>gap between beam and cleat corner</t>
  </si>
  <si>
    <t>x leading (pt i)</t>
  </si>
  <si>
    <t>plastic hinge factor</t>
  </si>
  <si>
    <t>γ</t>
  </si>
  <si>
    <t>gusset thickness</t>
  </si>
  <si>
    <t>alpha_crit_cleat_width</t>
  </si>
  <si>
    <t>θ</t>
  </si>
  <si>
    <t>x axis</t>
  </si>
  <si>
    <t>y axis</t>
  </si>
  <si>
    <t>Brace cleat corner (L)</t>
  </si>
  <si>
    <t>Brace cleat corner (R)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</si>
</sst>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</font>
    <font>
      <sz val="11"/>
      <color rgb="FF0070C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3" fillId="0" borderId="0" xfId="0" applyFont="1"/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0" xfId="0" applyFont="1" applyFill="1"/>
    <xf numFmtId="0" fontId="2" fillId="0" borderId="0" xfId="0" applyFont="1" applyAlignment="1">
      <alignment horizontal="center" vertical="center"/>
    </xf>
  </cellXfs>
  <cellStyles count="1">
    <cellStyle name="Standard" xfId="0" builtinId="0"/>
  </cellStyles>
  <dxfs count="1">
    <dxf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299738455364433"/>
          <c:y val="0.15137977606904571"/>
          <c:w val="0.54228673964084895"/>
          <c:h val="0.6975983517959804"/>
        </c:manualLayout>
      </c:layout>
      <c:scatterChart>
        <c:scatterStyle val="lineMarker"/>
        <c:varyColors val="0"/>
        <c:ser>
          <c:idx val="0"/>
          <c:order val="0"/>
          <c:tx>
            <c:v>beam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non_seismic!$C$41:$C$42</c:f>
              <c:numCache>
                <c:formatCode>General</c:formatCode>
                <c:ptCount val="2"/>
                <c:pt idx="0">
                  <c:v>0</c:v>
                </c:pt>
                <c:pt idx="1">
                  <c:v>400</c:v>
                </c:pt>
              </c:numCache>
            </c:numRef>
          </c:xVal>
          <c:yVal>
            <c:numRef>
              <c:f>non_seismic!$D$41:$D$42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92-4B27-8DFA-B17E95A192BA}"/>
            </c:ext>
          </c:extLst>
        </c:ser>
        <c:ser>
          <c:idx val="1"/>
          <c:order val="1"/>
          <c:tx>
            <c:v>column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non_seismic!$C$44:$C$45</c:f>
              <c:numCache>
                <c:formatCode>General</c:formatCode>
                <c:ptCount val="2"/>
                <c:pt idx="0">
                  <c:v>40</c:v>
                </c:pt>
                <c:pt idx="1">
                  <c:v>40</c:v>
                </c:pt>
              </c:numCache>
            </c:numRef>
          </c:xVal>
          <c:yVal>
            <c:numRef>
              <c:f>non_seismic!$D$44:$D$45</c:f>
              <c:numCache>
                <c:formatCode>General</c:formatCode>
                <c:ptCount val="2"/>
                <c:pt idx="0">
                  <c:v>0</c:v>
                </c:pt>
                <c:pt idx="1">
                  <c:v>400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C92-4B27-8DFA-B17E95A192BA}"/>
            </c:ext>
          </c:extLst>
        </c:ser>
        <c:ser>
          <c:idx val="8"/>
          <c:order val="2"/>
          <c:tx>
            <c:strRef>
              <c:f>non_seismic!$B$47</c:f>
              <c:strCache>
                <c:ptCount val="1"/>
                <c:pt idx="0">
                  <c:v>brace</c:v>
                </c:pt>
              </c:strCache>
            </c:strRef>
          </c:tx>
          <c:spPr>
            <a:ln w="1905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non_seismic!$C$47:$C$48</c:f>
              <c:numCache>
                <c:formatCode>General</c:formatCode>
                <c:ptCount val="2"/>
                <c:pt idx="0">
                  <c:v>0</c:v>
                </c:pt>
                <c:pt idx="1">
                  <c:v>400</c:v>
                </c:pt>
              </c:numCache>
            </c:numRef>
          </c:xVal>
          <c:yVal>
            <c:numRef>
              <c:f>non_seismic!$D$47:$D$48</c:f>
              <c:numCache>
                <c:formatCode>General</c:formatCode>
                <c:ptCount val="2"/>
                <c:pt idx="0">
                  <c:v>0</c:v>
                </c:pt>
                <c:pt idx="1">
                  <c:v>199.99999999959695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C92-4B27-8DFA-B17E95A192BA}"/>
            </c:ext>
          </c:extLst>
        </c:ser>
        <c:ser>
          <c:idx val="10"/>
          <c:order val="3"/>
          <c:tx>
            <c:strRef>
              <c:f>non_seismic!$B$25</c:f>
              <c:strCache>
                <c:ptCount val="1"/>
                <c:pt idx="0">
                  <c:v>a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non_seismic!$C$25</c:f>
              <c:numCache>
                <c:formatCode>General</c:formatCode>
                <c:ptCount val="1"/>
                <c:pt idx="0">
                  <c:v>40</c:v>
                </c:pt>
              </c:numCache>
            </c:numRef>
          </c:xVal>
          <c:yVal>
            <c:numRef>
              <c:f>non_seismic!$D$25</c:f>
              <c:numCache>
                <c:formatCode>General</c:formatCode>
                <c:ptCount val="1"/>
                <c:pt idx="0">
                  <c:v>147.74015141200917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C92-4B27-8DFA-B17E95A192BA}"/>
            </c:ext>
          </c:extLst>
        </c:ser>
        <c:ser>
          <c:idx val="11"/>
          <c:order val="4"/>
          <c:tx>
            <c:strRef>
              <c:f>non_seismic!$B$26</c:f>
              <c:strCache>
                <c:ptCount val="1"/>
                <c:pt idx="0">
                  <c:v>b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non_seismic!$C$26</c:f>
              <c:numCache>
                <c:formatCode>General</c:formatCode>
                <c:ptCount val="1"/>
                <c:pt idx="0">
                  <c:v>150.956561905597</c:v>
                </c:pt>
              </c:numCache>
            </c:numRef>
          </c:xVal>
          <c:yVal>
            <c:numRef>
              <c:f>non_seismic!$D$26</c:f>
              <c:numCache>
                <c:formatCode>General</c:formatCode>
                <c:ptCount val="1"/>
                <c:pt idx="0">
                  <c:v>203.21843236469587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C92-4B27-8DFA-B17E95A192BA}"/>
            </c:ext>
          </c:extLst>
        </c:ser>
        <c:ser>
          <c:idx val="6"/>
          <c:order val="5"/>
          <c:tx>
            <c:strRef>
              <c:f>non_seismic!$B$27</c:f>
              <c:strCache>
                <c:ptCount val="1"/>
                <c:pt idx="0">
                  <c:v>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non_seismic!$C$27</c:f>
              <c:numCache>
                <c:formatCode>General</c:formatCode>
                <c:ptCount val="1"/>
                <c:pt idx="0">
                  <c:v>214.35099634668316</c:v>
                </c:pt>
              </c:numCache>
            </c:numRef>
          </c:xVal>
          <c:yVal>
            <c:numRef>
              <c:f>non_seismic!$D$27</c:f>
              <c:numCache>
                <c:formatCode>General</c:formatCode>
                <c:ptCount val="1"/>
                <c:pt idx="0">
                  <c:v>199.41330224495476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C92-4B27-8DFA-B17E95A192BA}"/>
            </c:ext>
          </c:extLst>
        </c:ser>
        <c:ser>
          <c:idx val="7"/>
          <c:order val="6"/>
          <c:tx>
            <c:strRef>
              <c:f>non_seismic!$B$28</c:f>
              <c:strCache>
                <c:ptCount val="1"/>
                <c:pt idx="0">
                  <c:v>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non_seismic!$C$28</c:f>
              <c:numCache>
                <c:formatCode>General</c:formatCode>
                <c:ptCount val="1"/>
                <c:pt idx="0">
                  <c:v>288.14123960405732</c:v>
                </c:pt>
              </c:numCache>
            </c:numRef>
          </c:xVal>
          <c:yVal>
            <c:numRef>
              <c:f>non_seismic!$D$28</c:f>
              <c:numCache>
                <c:formatCode>General</c:formatCode>
                <c:ptCount val="1"/>
                <c:pt idx="0">
                  <c:v>51.832815729909143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C92-4B27-8DFA-B17E95A192BA}"/>
            </c:ext>
          </c:extLst>
        </c:ser>
        <c:ser>
          <c:idx val="12"/>
          <c:order val="7"/>
          <c:tx>
            <c:strRef>
              <c:f>non_seismic!$B$29</c:f>
              <c:strCache>
                <c:ptCount val="1"/>
                <c:pt idx="0">
                  <c:v>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non_seismic!$C$29</c:f>
              <c:numCache>
                <c:formatCode>General</c:formatCode>
                <c:ptCount val="1"/>
                <c:pt idx="0">
                  <c:v>253.91841372548078</c:v>
                </c:pt>
              </c:numCache>
            </c:numRef>
          </c:xVal>
          <c:yVal>
            <c:numRef>
              <c:f>non_seismic!$D$29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C92-4B27-8DFA-B17E95A192BA}"/>
            </c:ext>
          </c:extLst>
        </c:ser>
        <c:ser>
          <c:idx val="13"/>
          <c:order val="8"/>
          <c:tx>
            <c:strRef>
              <c:f>non_seismic!$B$30</c:f>
              <c:strCache>
                <c:ptCount val="1"/>
                <c:pt idx="0">
                  <c:v>f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non_seismic!$C$30</c:f>
              <c:numCache>
                <c:formatCode>General</c:formatCode>
                <c:ptCount val="1"/>
                <c:pt idx="0">
                  <c:v>253.91841372548078</c:v>
                </c:pt>
              </c:numCache>
            </c:numRef>
          </c:xVal>
          <c:yVal>
            <c:numRef>
              <c:f>non_seismic!$D$30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C92-4B27-8DFA-B17E95A192BA}"/>
            </c:ext>
          </c:extLst>
        </c:ser>
        <c:ser>
          <c:idx val="14"/>
          <c:order val="9"/>
          <c:tx>
            <c:strRef>
              <c:f>non_seismic!$B$31</c:f>
              <c:strCache>
                <c:ptCount val="1"/>
                <c:pt idx="0">
                  <c:v>g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non_seismic!$C$31</c:f>
              <c:numCache>
                <c:formatCode>General</c:formatCode>
                <c:ptCount val="1"/>
                <c:pt idx="0">
                  <c:v>152.85912696533984</c:v>
                </c:pt>
              </c:numCache>
            </c:numRef>
          </c:xVal>
          <c:yVal>
            <c:numRef>
              <c:f>non_seismic!$D$31</c:f>
              <c:numCache>
                <c:formatCode>General</c:formatCode>
                <c:ptCount val="1"/>
                <c:pt idx="0">
                  <c:v>76.429563482515888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C92-4B27-8DFA-B17E95A192BA}"/>
            </c:ext>
          </c:extLst>
        </c:ser>
        <c:ser>
          <c:idx val="9"/>
          <c:order val="10"/>
          <c:tx>
            <c:strRef>
              <c:f>non_seismic!$B$32</c:f>
              <c:strCache>
                <c:ptCount val="1"/>
                <c:pt idx="0">
                  <c:v>h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non_seismic!$C$32</c:f>
              <c:numCache>
                <c:formatCode>General</c:formatCode>
                <c:ptCount val="1"/>
                <c:pt idx="0">
                  <c:v>152.85912696533984</c:v>
                </c:pt>
              </c:numCache>
            </c:numRef>
          </c:xVal>
          <c:yVal>
            <c:numRef>
              <c:f>non_seismic!$D$32</c:f>
              <c:numCache>
                <c:formatCode>General</c:formatCode>
                <c:ptCount val="1"/>
                <c:pt idx="0">
                  <c:v>76.429563482515888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C92-4B27-8DFA-B17E95A192BA}"/>
            </c:ext>
          </c:extLst>
        </c:ser>
        <c:ser>
          <c:idx val="2"/>
          <c:order val="11"/>
          <c:tx>
            <c:strRef>
              <c:f>non_seismic!$B$33</c:f>
              <c:strCache>
                <c:ptCount val="1"/>
                <c:pt idx="0">
                  <c:v>i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non_seismic!$C$33</c:f>
              <c:numCache>
                <c:formatCode>General</c:formatCode>
                <c:ptCount val="1"/>
                <c:pt idx="0">
                  <c:v>251.24611797537023</c:v>
                </c:pt>
              </c:numCache>
            </c:numRef>
          </c:xVal>
          <c:yVal>
            <c:numRef>
              <c:f>non_seismic!$D$33</c:f>
              <c:numCache>
                <c:formatCode>General</c:formatCode>
                <c:ptCount val="1"/>
                <c:pt idx="0">
                  <c:v>125.62305898743195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C92-4B27-8DFA-B17E95A192BA}"/>
            </c:ext>
          </c:extLst>
        </c:ser>
        <c:ser>
          <c:idx val="3"/>
          <c:order val="12"/>
          <c:tx>
            <c:strRef>
              <c:f>non_seismic!$B$34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non_seismic!$C$34</c:f>
              <c:numCache>
                <c:formatCode>General</c:formatCode>
                <c:ptCount val="1"/>
                <c:pt idx="0">
                  <c:v>202.05262247035503</c:v>
                </c:pt>
              </c:numCache>
            </c:numRef>
          </c:xVal>
          <c:yVal>
            <c:numRef>
              <c:f>non_seismic!$D$34</c:f>
              <c:numCache>
                <c:formatCode>General</c:formatCode>
                <c:ptCount val="1"/>
                <c:pt idx="0">
                  <c:v>101.02631123497392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C92-4B27-8DFA-B17E95A192BA}"/>
            </c:ext>
          </c:extLst>
        </c:ser>
        <c:ser>
          <c:idx val="4"/>
          <c:order val="13"/>
          <c:tx>
            <c:strRef>
              <c:f>non_seismic!$B$35</c:f>
              <c:strCache>
                <c:ptCount val="1"/>
                <c:pt idx="0">
                  <c:v>k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non_seismic!$C$35</c:f>
              <c:numCache>
                <c:formatCode>General</c:formatCode>
                <c:ptCount val="1"/>
                <c:pt idx="0">
                  <c:v>189.75424859412601</c:v>
                </c:pt>
              </c:numCache>
            </c:numRef>
          </c:xVal>
          <c:yVal>
            <c:numRef>
              <c:f>non_seismic!$D$35</c:f>
              <c:numCache>
                <c:formatCode>General</c:formatCode>
                <c:ptCount val="1"/>
                <c:pt idx="0">
                  <c:v>125.62305898748151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DC92-4B27-8DFA-B17E95A192BA}"/>
            </c:ext>
          </c:extLst>
        </c:ser>
        <c:ser>
          <c:idx val="5"/>
          <c:order val="14"/>
          <c:tx>
            <c:strRef>
              <c:f>non_seismic!$B$36</c:f>
              <c:strCache>
                <c:ptCount val="1"/>
                <c:pt idx="0">
                  <c:v>l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non_seismic!$C$36</c:f>
              <c:numCache>
                <c:formatCode>General</c:formatCode>
                <c:ptCount val="1"/>
                <c:pt idx="0">
                  <c:v>214.35099634658405</c:v>
                </c:pt>
              </c:numCache>
            </c:numRef>
          </c:xVal>
          <c:yVal>
            <c:numRef>
              <c:f>non_seismic!$D$36</c:f>
              <c:numCache>
                <c:formatCode>General</c:formatCode>
                <c:ptCount val="1"/>
                <c:pt idx="0">
                  <c:v>76.429563482466321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DC92-4B27-8DFA-B17E95A192BA}"/>
            </c:ext>
          </c:extLst>
        </c:ser>
        <c:ser>
          <c:idx val="15"/>
          <c:order val="15"/>
          <c:tx>
            <c:v>Gusset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non_seismic!$C$25:$C$30</c:f>
              <c:numCache>
                <c:formatCode>General</c:formatCode>
                <c:ptCount val="6"/>
                <c:pt idx="0">
                  <c:v>40</c:v>
                </c:pt>
                <c:pt idx="1">
                  <c:v>150.956561905597</c:v>
                </c:pt>
                <c:pt idx="2">
                  <c:v>214.35099634668316</c:v>
                </c:pt>
                <c:pt idx="3">
                  <c:v>288.14123960405732</c:v>
                </c:pt>
                <c:pt idx="4">
                  <c:v>253.91841372548078</c:v>
                </c:pt>
                <c:pt idx="5">
                  <c:v>253.91841372548078</c:v>
                </c:pt>
              </c:numCache>
            </c:numRef>
          </c:xVal>
          <c:yVal>
            <c:numRef>
              <c:f>non_seismic!$D$25:$D$30</c:f>
              <c:numCache>
                <c:formatCode>General</c:formatCode>
                <c:ptCount val="6"/>
                <c:pt idx="0">
                  <c:v>147.74015141200917</c:v>
                </c:pt>
                <c:pt idx="1">
                  <c:v>203.21843236469587</c:v>
                </c:pt>
                <c:pt idx="2">
                  <c:v>199.41330224495476</c:v>
                </c:pt>
                <c:pt idx="3">
                  <c:v>51.832815729909143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9B-4B43-9F67-3EFC161BD3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492335"/>
        <c:axId val="209470255"/>
      </c:scatterChart>
      <c:valAx>
        <c:axId val="244492335"/>
        <c:scaling>
          <c:orientation val="minMax"/>
          <c:max val="5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9470255"/>
        <c:crosses val="autoZero"/>
        <c:crossBetween val="midCat"/>
        <c:majorUnit val="50"/>
      </c:valAx>
      <c:valAx>
        <c:axId val="209470255"/>
        <c:scaling>
          <c:orientation val="minMax"/>
          <c:max val="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44492335"/>
        <c:crosses val="autoZero"/>
        <c:crossBetween val="midCat"/>
        <c:majorUnit val="50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00058582308143"/>
          <c:y val="7.8143042614154945E-2"/>
          <c:w val="0.27650849443468073"/>
          <c:h val="0.899064937515510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731182</xdr:colOff>
      <xdr:row>14</xdr:row>
      <xdr:rowOff>146515</xdr:rowOff>
    </xdr:from>
    <xdr:to>
      <xdr:col>11</xdr:col>
      <xdr:colOff>592789</xdr:colOff>
      <xdr:row>35</xdr:row>
      <xdr:rowOff>46503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ED5BD5C8-82CF-4092-92F2-53057110B5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037634-2BA0-45EC-9A90-0AA80A0074A2}">
  <dimension ref="B3:H48"/>
  <sheetViews>
    <sheetView tabSelected="1" zoomScale="85" zoomScaleNormal="85" workbookViewId="0">
      <selection activeCell="L3" sqref="L3"/>
    </sheetView>
  </sheetViews>
  <sheetFormatPr baseColWidth="10" defaultRowHeight="15" x14ac:dyDescent="0.25"/>
  <cols>
    <col min="2" max="2" width="32.7109375" bestFit="1" customWidth="1"/>
    <col min="6" max="6" width="12.5703125" customWidth="1"/>
    <col min="8" max="8" width="13.5703125" customWidth="1"/>
  </cols>
  <sheetData>
    <row r="3" spans="2:8" x14ac:dyDescent="0.25">
      <c r="B3" s="1" t="s">
        <v>1</v>
      </c>
      <c r="C3" s="2">
        <v>0.46364760900000002</v>
      </c>
      <c r="D3" s="2">
        <v>0.46364760900000002</v>
      </c>
    </row>
    <row r="4" spans="2:8" x14ac:dyDescent="0.25">
      <c r="B4" t="s">
        <v>0</v>
      </c>
      <c r="C4" s="2">
        <v>55</v>
      </c>
    </row>
    <row r="5" spans="2:8" x14ac:dyDescent="0.25">
      <c r="B5" t="s">
        <v>3</v>
      </c>
      <c r="C5" s="2">
        <v>0</v>
      </c>
      <c r="F5" s="4" t="s">
        <v>30</v>
      </c>
      <c r="G5" t="s">
        <v>34</v>
      </c>
      <c r="H5" t="s">
        <v>36</v>
      </c>
    </row>
    <row r="6" spans="2:8" x14ac:dyDescent="0.25">
      <c r="B6" t="s">
        <v>4</v>
      </c>
      <c r="C6" s="2">
        <v>80</v>
      </c>
      <c r="E6" s="6" t="s">
        <v>42</v>
      </c>
      <c r="F6" t="s">
        <v>31</v>
      </c>
      <c r="G6" s="3">
        <f>(C4/2)*COS(C3)/TAN(C3) + (C5/(2*TAN(C3)))</f>
        <v>49.193495505114342</v>
      </c>
      <c r="H6" s="3">
        <f>G6+(C9+C10)*COS(C3)</f>
        <v>98.386991010129549</v>
      </c>
    </row>
    <row r="7" spans="2:8" x14ac:dyDescent="0.25">
      <c r="B7" t="s">
        <v>37</v>
      </c>
      <c r="C7" s="2">
        <v>1</v>
      </c>
      <c r="E7" s="6"/>
      <c r="F7" t="s">
        <v>32</v>
      </c>
      <c r="G7" s="3">
        <f>(C15/2)*COS(C3)/TAN(C3) + (C5/(2*TAN(C3)))</f>
        <v>147.58048651534301</v>
      </c>
      <c r="H7" s="3">
        <f>G7</f>
        <v>147.58048651534301</v>
      </c>
    </row>
    <row r="8" spans="2:8" x14ac:dyDescent="0.25">
      <c r="B8" t="s">
        <v>39</v>
      </c>
      <c r="C8" s="2">
        <v>10</v>
      </c>
      <c r="E8" s="6"/>
      <c r="F8" t="s">
        <v>33</v>
      </c>
      <c r="G8" s="3">
        <f>(C12/2 + C13/SIN(C18))*COS(C3)/TAN(C3) + (C5/(2*TAN(C3)))</f>
        <v>152.85912696533984</v>
      </c>
      <c r="H8" s="3">
        <f>G8+C14*COS(C3)</f>
        <v>251.24611797537023</v>
      </c>
    </row>
    <row r="9" spans="2:8" x14ac:dyDescent="0.25">
      <c r="B9" t="s">
        <v>20</v>
      </c>
      <c r="C9" s="2">
        <v>0</v>
      </c>
    </row>
    <row r="10" spans="2:8" x14ac:dyDescent="0.25">
      <c r="B10" t="s">
        <v>21</v>
      </c>
      <c r="C10" s="2">
        <v>55</v>
      </c>
      <c r="E10" s="6" t="s">
        <v>43</v>
      </c>
      <c r="F10" t="s">
        <v>31</v>
      </c>
      <c r="G10">
        <f>C6/2 + (C4/2)*COS(C18)</f>
        <v>52.298373876229022</v>
      </c>
      <c r="H10" s="3">
        <f>G10+(C9+C10)*COS(C3)</f>
        <v>101.49186938124421</v>
      </c>
    </row>
    <row r="11" spans="2:8" x14ac:dyDescent="0.25">
      <c r="B11" t="s">
        <v>23</v>
      </c>
      <c r="C11" s="2">
        <v>25</v>
      </c>
      <c r="E11" s="6"/>
      <c r="F11" t="s">
        <v>32</v>
      </c>
      <c r="G11">
        <f>C6/2 + (C15/2)*COS(C18)</f>
        <v>76.895121628687065</v>
      </c>
      <c r="H11" s="3">
        <f>G11</f>
        <v>76.895121628687065</v>
      </c>
    </row>
    <row r="12" spans="2:8" x14ac:dyDescent="0.25">
      <c r="B12" t="s">
        <v>22</v>
      </c>
      <c r="C12" s="2">
        <v>115</v>
      </c>
      <c r="E12" s="6"/>
      <c r="F12" t="s">
        <v>33</v>
      </c>
      <c r="G12">
        <f>C6/2 + (C12/2 + C13/SIN(C18))*COS(C18)</f>
        <v>78.214781741180957</v>
      </c>
      <c r="H12" s="3">
        <f>G12+C14*COS(C3)</f>
        <v>176.60177275121134</v>
      </c>
    </row>
    <row r="13" spans="2:8" x14ac:dyDescent="0.25">
      <c r="B13" t="s">
        <v>35</v>
      </c>
      <c r="C13" s="2">
        <v>25</v>
      </c>
    </row>
    <row r="14" spans="2:8" x14ac:dyDescent="0.25">
      <c r="B14" t="s">
        <v>19</v>
      </c>
      <c r="C14" s="3">
        <f>C9+2*C10</f>
        <v>110</v>
      </c>
    </row>
    <row r="15" spans="2:8" x14ac:dyDescent="0.25">
      <c r="B15" t="s">
        <v>24</v>
      </c>
      <c r="C15" s="3">
        <f>C12+2*C11</f>
        <v>165</v>
      </c>
    </row>
    <row r="18" spans="2:4" x14ac:dyDescent="0.25">
      <c r="B18" s="1" t="s">
        <v>2</v>
      </c>
      <c r="C18" s="3">
        <f>PI()/2 - C3</f>
        <v>1.1071487177948964</v>
      </c>
    </row>
    <row r="19" spans="2:4" x14ac:dyDescent="0.25">
      <c r="B19" s="1" t="s">
        <v>38</v>
      </c>
      <c r="C19" s="3">
        <f>PI()/2 - (C18 + RADIANS(30))</f>
        <v>-5.9951166598298578E-2</v>
      </c>
    </row>
    <row r="20" spans="2:4" x14ac:dyDescent="0.25">
      <c r="B20" s="1" t="s">
        <v>41</v>
      </c>
      <c r="C20" s="3">
        <f>PI()/2 - (C3+RADIANS(30))</f>
        <v>0.58354994219659773</v>
      </c>
    </row>
    <row r="21" spans="2:4" x14ac:dyDescent="0.25">
      <c r="B21" t="s">
        <v>25</v>
      </c>
      <c r="C21" s="3">
        <f>ATAN((C4/2 * SIN(C18) + C5/2) / (C4/2*COS(C18) + C6/2))</f>
        <v>0.43961945804686015</v>
      </c>
    </row>
    <row r="22" spans="2:4" x14ac:dyDescent="0.25">
      <c r="B22" t="s">
        <v>26</v>
      </c>
      <c r="C22" s="3">
        <f>ATAN((C15/2 * SIN(C18) + C5/2) / (C15/2*COS(C18) + C6/2))</f>
        <v>0.76479603607759661</v>
      </c>
    </row>
    <row r="23" spans="2:4" x14ac:dyDescent="0.25">
      <c r="B23" t="s">
        <v>40</v>
      </c>
      <c r="C23" s="3">
        <f>ATAN((C12/2 * SIN(C18) + C5/2) / (C12/2*COS(C18) + C6/2))</f>
        <v>0.66405186154448359</v>
      </c>
    </row>
    <row r="24" spans="2:4" x14ac:dyDescent="0.25">
      <c r="C24" t="s">
        <v>17</v>
      </c>
      <c r="D24" t="s">
        <v>18</v>
      </c>
    </row>
    <row r="25" spans="2:4" x14ac:dyDescent="0.25">
      <c r="B25" t="s">
        <v>5</v>
      </c>
      <c r="C25" s="3">
        <f>C6/2</f>
        <v>40</v>
      </c>
      <c r="D25" s="3">
        <f>D26-(C26-C25)*TAN(C3)</f>
        <v>147.74015141200917</v>
      </c>
    </row>
    <row r="26" spans="2:4" x14ac:dyDescent="0.25">
      <c r="B26" t="s">
        <v>6</v>
      </c>
      <c r="C26" s="3">
        <f>MAX(C6/2,C27-(C10+C9)*COS(C19)/COS(RADIANS(30)))</f>
        <v>150.956561905597</v>
      </c>
      <c r="D26" s="3">
        <f>D27-(C27-C26)*TAN(C19)</f>
        <v>203.21843236469587</v>
      </c>
    </row>
    <row r="27" spans="2:4" x14ac:dyDescent="0.25">
      <c r="B27" t="s">
        <v>7</v>
      </c>
      <c r="C27" s="3">
        <f>C33-(C12/2 + C11)*COS(C18)</f>
        <v>214.35099634668316</v>
      </c>
      <c r="D27" s="3">
        <f>D33 + (C12/2 + C11)*SIN(C18)</f>
        <v>199.41330224495476</v>
      </c>
    </row>
    <row r="28" spans="2:4" x14ac:dyDescent="0.25">
      <c r="B28" t="s">
        <v>8</v>
      </c>
      <c r="C28" s="3">
        <f>C33+(C12/2 + C11)*COS(C18)</f>
        <v>288.14123960405732</v>
      </c>
      <c r="D28" s="3">
        <f>D33 - (C12/2 + C11)*SIN(C18)</f>
        <v>51.832815729909143</v>
      </c>
    </row>
    <row r="29" spans="2:4" x14ac:dyDescent="0.25">
      <c r="B29" t="s">
        <v>9</v>
      </c>
      <c r="C29" s="3">
        <f>C28- MIN((D28-D29)*TAN(C20), C14/COS(RADIANS(30))*SIN(C20))</f>
        <v>253.91841372548078</v>
      </c>
      <c r="D29" s="3">
        <f>MAX(C5/2,D28-C14/COS(RADIANS(30))*COS(C20))</f>
        <v>0</v>
      </c>
    </row>
    <row r="30" spans="2:4" x14ac:dyDescent="0.25">
      <c r="B30" t="s">
        <v>10</v>
      </c>
      <c r="C30" s="3">
        <f>C28-(D28-D30)*TAN(C20)</f>
        <v>253.91841372548078</v>
      </c>
      <c r="D30" s="3">
        <f>C5/2</f>
        <v>0</v>
      </c>
    </row>
    <row r="31" spans="2:4" x14ac:dyDescent="0.25">
      <c r="B31" t="s">
        <v>11</v>
      </c>
      <c r="C31" s="3">
        <f>C32</f>
        <v>152.85912696533984</v>
      </c>
      <c r="D31" s="3">
        <f>D32</f>
        <v>76.429563482515888</v>
      </c>
    </row>
    <row r="32" spans="2:4" x14ac:dyDescent="0.25">
      <c r="B32" t="s">
        <v>12</v>
      </c>
      <c r="C32" s="3">
        <f>C33-C14*COS(C3)</f>
        <v>152.85912696533984</v>
      </c>
      <c r="D32" s="3">
        <f>(C32)*TAN(C3)</f>
        <v>76.429563482515888</v>
      </c>
    </row>
    <row r="33" spans="2:4" x14ac:dyDescent="0.25">
      <c r="B33" t="s">
        <v>13</v>
      </c>
      <c r="C33" s="5">
        <f>MAX(H6:H12)</f>
        <v>251.24611797537023</v>
      </c>
      <c r="D33" s="5">
        <f>C33*TAN(C3)</f>
        <v>125.62305898743195</v>
      </c>
    </row>
    <row r="34" spans="2:4" x14ac:dyDescent="0.25">
      <c r="B34" t="s">
        <v>14</v>
      </c>
      <c r="C34" s="3">
        <f>C33-(C9+C10)*COS(C3)</f>
        <v>202.05262247035503</v>
      </c>
      <c r="D34" s="3">
        <f>(C34)*TAN(C3)</f>
        <v>101.02631123497392</v>
      </c>
    </row>
    <row r="35" spans="2:4" x14ac:dyDescent="0.25">
      <c r="B35" t="s">
        <v>15</v>
      </c>
      <c r="C35" s="3">
        <f>C34-C4/2*SIN(C3)</f>
        <v>189.75424859412601</v>
      </c>
      <c r="D35" s="3">
        <f>D34+C4/2*COS(C3)</f>
        <v>125.62305898748151</v>
      </c>
    </row>
    <row r="36" spans="2:4" x14ac:dyDescent="0.25">
      <c r="B36" t="s">
        <v>16</v>
      </c>
      <c r="C36" s="3">
        <f>C34+C4/2*SIN(C3)</f>
        <v>214.35099634658405</v>
      </c>
      <c r="D36" s="3">
        <f>D34-C4/2*COS(C3)</f>
        <v>76.429563482466321</v>
      </c>
    </row>
    <row r="38" spans="2:4" x14ac:dyDescent="0.25">
      <c r="B38" t="s">
        <v>44</v>
      </c>
      <c r="C38" s="3">
        <f>C32-C12/2*COS(C18)</f>
        <v>127.1443452241337</v>
      </c>
      <c r="D38" s="3">
        <f>D32+C12/2*SIN(C18)</f>
        <v>127.85912696503178</v>
      </c>
    </row>
    <row r="39" spans="2:4" x14ac:dyDescent="0.25">
      <c r="B39" t="s">
        <v>45</v>
      </c>
      <c r="C39" s="3">
        <f>C32+C12/2*COS(C18)</f>
        <v>178.57390870654598</v>
      </c>
      <c r="D39" s="3">
        <f>D32-C12/2*SIN(C18)</f>
        <v>25</v>
      </c>
    </row>
    <row r="41" spans="2:4" x14ac:dyDescent="0.25">
      <c r="B41" t="s">
        <v>27</v>
      </c>
      <c r="C41" s="2">
        <v>0</v>
      </c>
      <c r="D41" s="2">
        <f>C5/2</f>
        <v>0</v>
      </c>
    </row>
    <row r="42" spans="2:4" x14ac:dyDescent="0.25">
      <c r="C42" s="2">
        <v>400</v>
      </c>
      <c r="D42" s="2">
        <f>C5/2</f>
        <v>0</v>
      </c>
    </row>
    <row r="43" spans="2:4" x14ac:dyDescent="0.25">
      <c r="C43" s="2"/>
      <c r="D43" s="2"/>
    </row>
    <row r="44" spans="2:4" x14ac:dyDescent="0.25">
      <c r="B44" t="s">
        <v>28</v>
      </c>
      <c r="C44" s="2">
        <f>C6/2</f>
        <v>40</v>
      </c>
      <c r="D44" s="2">
        <v>0</v>
      </c>
    </row>
    <row r="45" spans="2:4" x14ac:dyDescent="0.25">
      <c r="C45" s="2">
        <f>C6/2</f>
        <v>40</v>
      </c>
      <c r="D45" s="2">
        <v>400</v>
      </c>
    </row>
    <row r="46" spans="2:4" x14ac:dyDescent="0.25">
      <c r="C46" s="2"/>
      <c r="D46" s="2"/>
    </row>
    <row r="47" spans="2:4" x14ac:dyDescent="0.25">
      <c r="B47" t="s">
        <v>29</v>
      </c>
      <c r="C47" s="2">
        <v>0</v>
      </c>
      <c r="D47" s="2">
        <v>0</v>
      </c>
    </row>
    <row r="48" spans="2:4" x14ac:dyDescent="0.25">
      <c r="C48" s="3">
        <f>C42</f>
        <v>400</v>
      </c>
      <c r="D48" s="3">
        <f>C48*TAN(C3)</f>
        <v>199.99999999959695</v>
      </c>
    </row>
  </sheetData>
  <mergeCells count="2">
    <mergeCell ref="E6:E8"/>
    <mergeCell ref="E10:E12"/>
  </mergeCells>
  <conditionalFormatting sqref="H6:H12">
    <cfRule type="expression" dxfId="0" priority="1">
      <formula>H6=MAX($H$6:$H$12)</formula>
    </cfRule>
  </conditionalFormatting>
  <pageMargins left="0.7" right="0.7" top="0.78740157499999996" bottom="0.78740157499999996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26142BBD614E004F9123C843775B9053" ma:contentTypeVersion="18" ma:contentTypeDescription="Ein neues Dokument erstellen." ma:contentTypeScope="" ma:versionID="9eba075c07c7b8e10710dbd5a9b10a17">
  <xsd:schema xmlns:xsd="http://www.w3.org/2001/XMLSchema" xmlns:xs="http://www.w3.org/2001/XMLSchema" xmlns:p="http://schemas.microsoft.com/office/2006/metadata/properties" xmlns:ns3="b8438a74-1baf-41ed-a764-db03f5cc8e77" xmlns:ns4="7f27ad31-1248-408e-b004-32fcbe738eec" targetNamespace="http://schemas.microsoft.com/office/2006/metadata/properties" ma:root="true" ma:fieldsID="834b5a3e6853755301f6034dd0745b55" ns3:_="" ns4:_="">
    <xsd:import namespace="b8438a74-1baf-41ed-a764-db03f5cc8e77"/>
    <xsd:import namespace="7f27ad31-1248-408e-b004-32fcbe738eec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GenerationTime" minOccurs="0"/>
                <xsd:element ref="ns4:MediaServiceEventHashCode" minOccurs="0"/>
                <xsd:element ref="ns4:MediaServiceDateTaken" minOccurs="0"/>
                <xsd:element ref="ns4:MediaServiceLocation" minOccurs="0"/>
                <xsd:element ref="ns4:MediaServiceAutoKeyPoints" minOccurs="0"/>
                <xsd:element ref="ns4:MediaServiceKeyPoints" minOccurs="0"/>
                <xsd:element ref="ns4:MediaServiceOCR" minOccurs="0"/>
                <xsd:element ref="ns4:_activity" minOccurs="0"/>
                <xsd:element ref="ns4:MediaLengthInSeconds" minOccurs="0"/>
                <xsd:element ref="ns4:MediaServiceObjectDetectorVersions" minOccurs="0"/>
                <xsd:element ref="ns4:MediaServiceSystemTags" minOccurs="0"/>
                <xsd:element ref="ns4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8438a74-1baf-41ed-a764-db03f5cc8e7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Freigabehinweis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27ad31-1248-408e-b004-32fcbe738ee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_activity" ma:index="21" nillable="true" ma:displayName="_activity" ma:hidden="true" ma:internalName="_activity">
      <xsd:simpleType>
        <xsd:restriction base="dms:Note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ystemTags" ma:index="2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7f27ad31-1248-408e-b004-32fcbe738eec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82DD18B-62A9-4F7E-A00D-D8D2B527BCB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8438a74-1baf-41ed-a764-db03f5cc8e77"/>
    <ds:schemaRef ds:uri="7f27ad31-1248-408e-b004-32fcbe738ee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8ABD6F4-6315-47B9-B804-6EB5CC20E18D}">
  <ds:schemaRefs>
    <ds:schemaRef ds:uri="http://schemas.microsoft.com/office/2006/documentManagement/types"/>
    <ds:schemaRef ds:uri="http://purl.org/dc/elements/1.1/"/>
    <ds:schemaRef ds:uri="http://www.w3.org/XML/1998/namespace"/>
    <ds:schemaRef ds:uri="http://purl.org/dc/terms/"/>
    <ds:schemaRef ds:uri="http://schemas.microsoft.com/office/2006/metadata/properties"/>
    <ds:schemaRef ds:uri="http://purl.org/dc/dcmitype/"/>
    <ds:schemaRef ds:uri="http://schemas.openxmlformats.org/package/2006/metadata/core-properties"/>
    <ds:schemaRef ds:uri="http://schemas.microsoft.com/office/infopath/2007/PartnerControls"/>
    <ds:schemaRef ds:uri="b8438a74-1baf-41ed-a764-db03f5cc8e77"/>
    <ds:schemaRef ds:uri="7f27ad31-1248-408e-b004-32fcbe738eec"/>
  </ds:schemaRefs>
</ds:datastoreItem>
</file>

<file path=customXml/itemProps3.xml><?xml version="1.0" encoding="utf-8"?>
<ds:datastoreItem xmlns:ds="http://schemas.openxmlformats.org/officeDocument/2006/customXml" ds:itemID="{51311234-A6F4-4840-AD36-085670F135A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non_seismic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Aaron Clemett</dc:creator>
  <cp:lastModifiedBy>Nicholas Aaron Clemett</cp:lastModifiedBy>
  <dcterms:created xsi:type="dcterms:W3CDTF">2025-04-03T09:41:51Z</dcterms:created>
  <dcterms:modified xsi:type="dcterms:W3CDTF">2025-04-07T06:21:37Z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fd2079b-6d85-4185-8122-5cca51dad164_Enabled">
    <vt:lpwstr>true</vt:lpwstr>
  </property>
  <property fmtid="{D5CDD505-2E9C-101B-9397-08002B2CF9AE}" pid="3" name="MSIP_Label_8fd2079b-6d85-4185-8122-5cca51dad164_SetDate">
    <vt:lpwstr>2025-04-03T15:24:34Z</vt:lpwstr>
  </property>
  <property fmtid="{D5CDD505-2E9C-101B-9397-08002B2CF9AE}" pid="4" name="MSIP_Label_8fd2079b-6d85-4185-8122-5cca51dad164_Method">
    <vt:lpwstr>Standard</vt:lpwstr>
  </property>
  <property fmtid="{D5CDD505-2E9C-101B-9397-08002B2CF9AE}" pid="5" name="MSIP_Label_8fd2079b-6d85-4185-8122-5cca51dad164_Name">
    <vt:lpwstr>Öffentlich</vt:lpwstr>
  </property>
  <property fmtid="{D5CDD505-2E9C-101B-9397-08002B2CF9AE}" pid="6" name="MSIP_Label_8fd2079b-6d85-4185-8122-5cca51dad164_SiteId">
    <vt:lpwstr>5832f73f-b0fa-45a0-80d9-7e32bd7fa822</vt:lpwstr>
  </property>
  <property fmtid="{D5CDD505-2E9C-101B-9397-08002B2CF9AE}" pid="7" name="MSIP_Label_8fd2079b-6d85-4185-8122-5cca51dad164_ActionId">
    <vt:lpwstr>5aadda94-d512-47de-beab-a68a018edc36</vt:lpwstr>
  </property>
  <property fmtid="{D5CDD505-2E9C-101B-9397-08002B2CF9AE}" pid="8" name="MSIP_Label_8fd2079b-6d85-4185-8122-5cca51dad164_ContentBits">
    <vt:lpwstr>0</vt:lpwstr>
  </property>
  <property fmtid="{D5CDD505-2E9C-101B-9397-08002B2CF9AE}" pid="9" name="MSIP_Label_8fd2079b-6d85-4185-8122-5cca51dad164_Tag">
    <vt:lpwstr>10, 3, 0, 1</vt:lpwstr>
  </property>
  <property fmtid="{D5CDD505-2E9C-101B-9397-08002B2CF9AE}" pid="10" name="ContentTypeId">
    <vt:lpwstr>0x01010026142BBD614E004F9123C843775B9053</vt:lpwstr>
  </property>
</Properties>
</file>