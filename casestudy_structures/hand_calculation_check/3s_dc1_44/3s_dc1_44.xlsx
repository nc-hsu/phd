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case_study_hand_calcs/3s_dc1_44/"/>
    </mc:Choice>
  </mc:AlternateContent>
  <xr:revisionPtr revIDLastSave="0" documentId="8_{7BA84CC4-7F1C-4FA2-B058-FC68A62A8AEE}" xr6:coauthVersionLast="47" xr6:coauthVersionMax="47" xr10:uidLastSave="{00000000-0000-0000-0000-000000000000}"/>
  <bookViews>
    <workbookView xWindow="-120" yWindow="-120" windowWidth="29040" windowHeight="15720" activeTab="3" xr2:uid="{7D9295CA-11CB-4DE1-B0A9-DFA242247CEC}"/>
  </bookViews>
  <sheets>
    <sheet name="Loads" sheetId="1" r:id="rId1"/>
    <sheet name="Cross Sections and Materials" sheetId="4" r:id="rId2"/>
    <sheet name="Nonseismic_Design" sheetId="3" r:id="rId3"/>
    <sheet name="CBF_Seismic_Design_Verification" sheetId="2" r:id="rId4"/>
  </sheets>
  <definedNames>
    <definedName name="T">Loads!$C$63</definedName>
    <definedName name="TA">Loads!$C$49</definedName>
    <definedName name="TB">Loads!$C$50</definedName>
    <definedName name="TC">Loads!$C$51</definedName>
    <definedName name="TD">Loads!$C$52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0" i="2" l="1"/>
  <c r="J139" i="2"/>
  <c r="L123" i="2"/>
  <c r="N98" i="2"/>
  <c r="N99" i="2"/>
  <c r="N100" i="2"/>
  <c r="N101" i="2"/>
  <c r="N102" i="2"/>
  <c r="N103" i="2"/>
  <c r="E82" i="2"/>
  <c r="F82" i="2"/>
  <c r="E83" i="2"/>
  <c r="F83" i="2"/>
  <c r="E84" i="2"/>
  <c r="F84" i="2"/>
  <c r="D85" i="2"/>
  <c r="E85" i="2"/>
  <c r="F85" i="2"/>
  <c r="G85" i="2"/>
  <c r="H85" i="2"/>
  <c r="I85" i="2"/>
  <c r="J85" i="2"/>
  <c r="D86" i="2"/>
  <c r="E86" i="2"/>
  <c r="F86" i="2"/>
  <c r="G86" i="2"/>
  <c r="H86" i="2"/>
  <c r="I86" i="2"/>
  <c r="J86" i="2"/>
  <c r="D87" i="2"/>
  <c r="E87" i="2"/>
  <c r="F87" i="2"/>
  <c r="G87" i="2"/>
  <c r="H87" i="2"/>
  <c r="I87" i="2"/>
  <c r="J87" i="2"/>
  <c r="D88" i="2"/>
  <c r="E88" i="2"/>
  <c r="F88" i="2"/>
  <c r="G88" i="2"/>
  <c r="H88" i="2"/>
  <c r="I88" i="2"/>
  <c r="J88" i="2"/>
  <c r="D89" i="2"/>
  <c r="E89" i="2"/>
  <c r="F89" i="2"/>
  <c r="G89" i="2"/>
  <c r="H89" i="2"/>
  <c r="I89" i="2"/>
  <c r="J89" i="2"/>
  <c r="D90" i="2"/>
  <c r="E90" i="2"/>
  <c r="F90" i="2"/>
  <c r="G90" i="2"/>
  <c r="H90" i="2"/>
  <c r="I90" i="2"/>
  <c r="J90" i="2"/>
  <c r="I95" i="2"/>
  <c r="K95" i="2"/>
  <c r="I96" i="2"/>
  <c r="K96" i="2"/>
  <c r="I97" i="2"/>
  <c r="K97" i="2"/>
  <c r="H98" i="2"/>
  <c r="I98" i="2"/>
  <c r="J98" i="2"/>
  <c r="K98" i="2"/>
  <c r="L98" i="2"/>
  <c r="M98" i="2"/>
  <c r="H99" i="2"/>
  <c r="I99" i="2"/>
  <c r="J99" i="2"/>
  <c r="K99" i="2"/>
  <c r="L99" i="2"/>
  <c r="M99" i="2"/>
  <c r="H100" i="2"/>
  <c r="I100" i="2"/>
  <c r="J100" i="2"/>
  <c r="K100" i="2"/>
  <c r="L100" i="2"/>
  <c r="M100" i="2"/>
  <c r="H101" i="2"/>
  <c r="I101" i="2"/>
  <c r="J101" i="2"/>
  <c r="K101" i="2"/>
  <c r="L101" i="2"/>
  <c r="M101" i="2"/>
  <c r="H102" i="2"/>
  <c r="I102" i="2"/>
  <c r="J102" i="2"/>
  <c r="K102" i="2"/>
  <c r="L102" i="2"/>
  <c r="M102" i="2"/>
  <c r="H103" i="2"/>
  <c r="I103" i="2"/>
  <c r="J103" i="2"/>
  <c r="K103" i="2"/>
  <c r="L103" i="2"/>
  <c r="M103" i="2"/>
  <c r="M130" i="2"/>
  <c r="K130" i="2"/>
  <c r="M123" i="2"/>
  <c r="K123" i="2"/>
  <c r="N117" i="1"/>
  <c r="N118" i="1"/>
  <c r="N119" i="1"/>
  <c r="U28" i="1"/>
  <c r="W145" i="1"/>
  <c r="W146" i="1"/>
  <c r="W147" i="1"/>
  <c r="S145" i="1"/>
  <c r="S146" i="1"/>
  <c r="S147" i="1"/>
  <c r="O145" i="1"/>
  <c r="O146" i="1"/>
  <c r="O147" i="1"/>
  <c r="W131" i="1"/>
  <c r="W132" i="1"/>
  <c r="W133" i="1"/>
  <c r="S131" i="1"/>
  <c r="S132" i="1"/>
  <c r="S133" i="1"/>
  <c r="O131" i="1"/>
  <c r="O132" i="1"/>
  <c r="O133" i="1"/>
  <c r="D126" i="2"/>
  <c r="N9" i="4"/>
  <c r="C59" i="1"/>
  <c r="M5" i="4"/>
  <c r="P30" i="1"/>
  <c r="P31" i="1"/>
  <c r="P32" i="1"/>
  <c r="C8" i="1"/>
  <c r="G98" i="2"/>
  <c r="E37" i="2" s="1"/>
  <c r="T73" i="1"/>
  <c r="M46" i="1"/>
  <c r="R39" i="1"/>
  <c r="G9" i="2"/>
  <c r="J96" i="2" s="1"/>
  <c r="H9" i="2"/>
  <c r="G10" i="2"/>
  <c r="J97" i="2" s="1"/>
  <c r="H10" i="2"/>
  <c r="G11" i="2"/>
  <c r="H11" i="2"/>
  <c r="G12" i="2"/>
  <c r="G112" i="2" s="1"/>
  <c r="H12" i="2"/>
  <c r="G13" i="2"/>
  <c r="G113" i="2" s="1"/>
  <c r="H13" i="2"/>
  <c r="G14" i="2"/>
  <c r="H14" i="2"/>
  <c r="G15" i="2"/>
  <c r="G115" i="2" s="1"/>
  <c r="I115" i="2" s="1"/>
  <c r="H15" i="2"/>
  <c r="G16" i="2"/>
  <c r="H16" i="2"/>
  <c r="D9" i="2"/>
  <c r="D35" i="2" s="1"/>
  <c r="D10" i="2"/>
  <c r="D36" i="2" s="1"/>
  <c r="D11" i="2"/>
  <c r="D12" i="2"/>
  <c r="D38" i="2" s="1"/>
  <c r="D13" i="2"/>
  <c r="D113" i="2" s="1"/>
  <c r="D14" i="2"/>
  <c r="D40" i="2" s="1"/>
  <c r="D15" i="2"/>
  <c r="D16" i="2"/>
  <c r="D42" i="2" s="1"/>
  <c r="H8" i="2"/>
  <c r="G8" i="2"/>
  <c r="J95" i="2" s="1"/>
  <c r="D8" i="2"/>
  <c r="D95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48" i="2"/>
  <c r="G48" i="2" s="1"/>
  <c r="D48" i="2"/>
  <c r="D61" i="2" s="1"/>
  <c r="I61" i="2" s="1"/>
  <c r="D49" i="2"/>
  <c r="D62" i="2" s="1"/>
  <c r="I62" i="2" s="1"/>
  <c r="D50" i="2"/>
  <c r="D63" i="2" s="1"/>
  <c r="D51" i="2"/>
  <c r="D64" i="2" s="1"/>
  <c r="D52" i="2"/>
  <c r="D65" i="2" s="1"/>
  <c r="D53" i="2"/>
  <c r="D66" i="2" s="1"/>
  <c r="I66" i="2" s="1"/>
  <c r="D54" i="2"/>
  <c r="D67" i="2" s="1"/>
  <c r="D55" i="2"/>
  <c r="D68" i="2" s="1"/>
  <c r="G47" i="2"/>
  <c r="D47" i="2"/>
  <c r="D60" i="2" s="1"/>
  <c r="H95" i="2" s="1"/>
  <c r="E61" i="2"/>
  <c r="E62" i="2"/>
  <c r="F63" i="2" s="1"/>
  <c r="E63" i="2"/>
  <c r="F64" i="2" s="1"/>
  <c r="E64" i="2"/>
  <c r="E65" i="2"/>
  <c r="E66" i="2"/>
  <c r="F67" i="2" s="1"/>
  <c r="E67" i="2"/>
  <c r="F68" i="2" s="1"/>
  <c r="E68" i="2"/>
  <c r="E60" i="2"/>
  <c r="G60" i="2" s="1"/>
  <c r="G96" i="2"/>
  <c r="E35" i="2" s="1"/>
  <c r="O96" i="2"/>
  <c r="G97" i="2"/>
  <c r="E36" i="2" s="1"/>
  <c r="O97" i="2"/>
  <c r="O98" i="2"/>
  <c r="G99" i="2"/>
  <c r="O99" i="2"/>
  <c r="G100" i="2"/>
  <c r="O100" i="2"/>
  <c r="G101" i="2"/>
  <c r="O101" i="2"/>
  <c r="G102" i="2"/>
  <c r="E41" i="2" s="1"/>
  <c r="O102" i="2"/>
  <c r="G103" i="2"/>
  <c r="O103" i="2"/>
  <c r="O95" i="2"/>
  <c r="G95" i="2"/>
  <c r="E34" i="2" s="1"/>
  <c r="H109" i="2"/>
  <c r="H110" i="2"/>
  <c r="H111" i="2"/>
  <c r="H112" i="2"/>
  <c r="H113" i="2"/>
  <c r="H114" i="2"/>
  <c r="H115" i="2"/>
  <c r="H116" i="2"/>
  <c r="H108" i="2"/>
  <c r="G27" i="1"/>
  <c r="U29" i="1"/>
  <c r="O61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T99" i="1"/>
  <c r="S99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T86" i="1"/>
  <c r="S86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O74" i="1"/>
  <c r="O87" i="1" s="1"/>
  <c r="O100" i="1" s="1"/>
  <c r="O75" i="1"/>
  <c r="O88" i="1" s="1"/>
  <c r="O101" i="1" s="1"/>
  <c r="O76" i="1"/>
  <c r="O89" i="1" s="1"/>
  <c r="O102" i="1" s="1"/>
  <c r="O77" i="1"/>
  <c r="O90" i="1" s="1"/>
  <c r="O103" i="1" s="1"/>
  <c r="O78" i="1"/>
  <c r="O91" i="1" s="1"/>
  <c r="O104" i="1" s="1"/>
  <c r="O79" i="1"/>
  <c r="O92" i="1" s="1"/>
  <c r="O105" i="1" s="1"/>
  <c r="O80" i="1"/>
  <c r="O93" i="1" s="1"/>
  <c r="O106" i="1" s="1"/>
  <c r="O81" i="1"/>
  <c r="O94" i="1" s="1"/>
  <c r="O107" i="1" s="1"/>
  <c r="S73" i="1"/>
  <c r="O73" i="1"/>
  <c r="O86" i="1" s="1"/>
  <c r="O99" i="1" s="1"/>
  <c r="G24" i="1"/>
  <c r="M111" i="1" s="1"/>
  <c r="N111" i="1" s="1"/>
  <c r="G25" i="1"/>
  <c r="G26" i="1"/>
  <c r="G28" i="1"/>
  <c r="G29" i="1"/>
  <c r="M116" i="1" s="1"/>
  <c r="G30" i="1"/>
  <c r="G31" i="1"/>
  <c r="M118" i="1" s="1"/>
  <c r="G32" i="1"/>
  <c r="M119" i="1" s="1"/>
  <c r="D133" i="2"/>
  <c r="D6" i="2"/>
  <c r="G139" i="2"/>
  <c r="C41" i="1"/>
  <c r="C44" i="1" s="1"/>
  <c r="C38" i="1"/>
  <c r="C42" i="1" s="1"/>
  <c r="C45" i="1" s="1"/>
  <c r="L95" i="2" l="1"/>
  <c r="M95" i="2" s="1"/>
  <c r="G84" i="2"/>
  <c r="G83" i="2"/>
  <c r="D84" i="2"/>
  <c r="G82" i="2"/>
  <c r="H97" i="2"/>
  <c r="L97" i="2" s="1"/>
  <c r="M97" i="2" s="1"/>
  <c r="D83" i="2"/>
  <c r="G109" i="2"/>
  <c r="H96" i="2"/>
  <c r="L96" i="2" s="1"/>
  <c r="M96" i="2" s="1"/>
  <c r="D82" i="2"/>
  <c r="O118" i="1"/>
  <c r="O119" i="1"/>
  <c r="I12" i="2"/>
  <c r="J12" i="2" s="1"/>
  <c r="D110" i="2"/>
  <c r="D97" i="2"/>
  <c r="D116" i="2"/>
  <c r="D103" i="2"/>
  <c r="C51" i="1"/>
  <c r="I11" i="2"/>
  <c r="J11" i="2" s="1"/>
  <c r="I14" i="2"/>
  <c r="J14" i="2" s="1"/>
  <c r="G111" i="2"/>
  <c r="D111" i="2"/>
  <c r="I16" i="2"/>
  <c r="J16" i="2" s="1"/>
  <c r="I15" i="2"/>
  <c r="J15" i="2" s="1"/>
  <c r="I68" i="2"/>
  <c r="D99" i="2"/>
  <c r="G67" i="2"/>
  <c r="D98" i="2"/>
  <c r="G68" i="2"/>
  <c r="D112" i="2"/>
  <c r="J115" i="2"/>
  <c r="K115" i="2" s="1"/>
  <c r="D37" i="2"/>
  <c r="G114" i="2"/>
  <c r="I114" i="2" s="1"/>
  <c r="I63" i="2"/>
  <c r="G63" i="2"/>
  <c r="D108" i="2"/>
  <c r="I64" i="2"/>
  <c r="F66" i="2"/>
  <c r="G66" i="2" s="1"/>
  <c r="I67" i="2"/>
  <c r="I65" i="2"/>
  <c r="D114" i="2"/>
  <c r="D101" i="2"/>
  <c r="E28" i="1"/>
  <c r="M115" i="1"/>
  <c r="M114" i="1"/>
  <c r="E27" i="1"/>
  <c r="E31" i="1"/>
  <c r="E42" i="2"/>
  <c r="G64" i="2"/>
  <c r="F65" i="2"/>
  <c r="G65" i="2" s="1"/>
  <c r="M117" i="1"/>
  <c r="O117" i="1" s="1"/>
  <c r="E30" i="1"/>
  <c r="E39" i="2"/>
  <c r="D41" i="2"/>
  <c r="D115" i="2"/>
  <c r="E32" i="1"/>
  <c r="D102" i="2"/>
  <c r="E29" i="1"/>
  <c r="E38" i="2"/>
  <c r="E40" i="2"/>
  <c r="E24" i="1"/>
  <c r="K24" i="1" s="1"/>
  <c r="P24" i="1" s="1"/>
  <c r="D100" i="2"/>
  <c r="G116" i="2"/>
  <c r="I116" i="2" s="1"/>
  <c r="E25" i="1"/>
  <c r="I25" i="1" s="1"/>
  <c r="N25" i="1" s="1"/>
  <c r="D39" i="2"/>
  <c r="I13" i="2"/>
  <c r="J13" i="2" s="1"/>
  <c r="D34" i="2"/>
  <c r="D96" i="2"/>
  <c r="F62" i="2"/>
  <c r="G62" i="2" s="1"/>
  <c r="F61" i="2"/>
  <c r="G61" i="2" s="1"/>
  <c r="I8" i="2"/>
  <c r="J8" i="2" s="1"/>
  <c r="I9" i="2"/>
  <c r="J9" i="2" s="1"/>
  <c r="E26" i="1"/>
  <c r="J26" i="1" s="1"/>
  <c r="G108" i="2"/>
  <c r="I10" i="2"/>
  <c r="J10" i="2" s="1"/>
  <c r="M113" i="1"/>
  <c r="M112" i="1"/>
  <c r="N112" i="1" s="1"/>
  <c r="G110" i="2"/>
  <c r="D109" i="2"/>
  <c r="I60" i="2"/>
  <c r="R64" i="1"/>
  <c r="N114" i="1" l="1"/>
  <c r="N115" i="1"/>
  <c r="N113" i="1"/>
  <c r="O112" i="1"/>
  <c r="C50" i="1"/>
  <c r="C61" i="1" s="1"/>
  <c r="C60" i="1"/>
  <c r="N116" i="1"/>
  <c r="K13" i="2"/>
  <c r="L13" i="2" s="1"/>
  <c r="J25" i="1"/>
  <c r="O25" i="1" s="1"/>
  <c r="K12" i="2"/>
  <c r="L12" i="2" s="1"/>
  <c r="O116" i="1"/>
  <c r="O111" i="1"/>
  <c r="O113" i="1"/>
  <c r="O114" i="1"/>
  <c r="O115" i="1"/>
  <c r="K15" i="2"/>
  <c r="L15" i="2" s="1"/>
  <c r="K11" i="2"/>
  <c r="L11" i="2" s="1"/>
  <c r="K16" i="2"/>
  <c r="L16" i="2" s="1"/>
  <c r="J114" i="2"/>
  <c r="K114" i="2" s="1"/>
  <c r="K14" i="2"/>
  <c r="L14" i="2" s="1"/>
  <c r="I24" i="1"/>
  <c r="N24" i="1" s="1"/>
  <c r="I26" i="1"/>
  <c r="N26" i="1" s="1"/>
  <c r="J24" i="1"/>
  <c r="O24" i="1" s="1"/>
  <c r="K26" i="1"/>
  <c r="P26" i="1" s="1"/>
  <c r="K25" i="1"/>
  <c r="P25" i="1" s="1"/>
  <c r="I28" i="1"/>
  <c r="J28" i="1"/>
  <c r="K28" i="1"/>
  <c r="P28" i="1" s="1"/>
  <c r="I32" i="1"/>
  <c r="J32" i="1"/>
  <c r="K32" i="1"/>
  <c r="I29" i="1"/>
  <c r="J29" i="1"/>
  <c r="K29" i="1"/>
  <c r="P29" i="1" s="1"/>
  <c r="I30" i="1"/>
  <c r="J30" i="1"/>
  <c r="K30" i="1"/>
  <c r="J31" i="1"/>
  <c r="I31" i="1"/>
  <c r="K31" i="1"/>
  <c r="J27" i="1"/>
  <c r="K27" i="1"/>
  <c r="P27" i="1" s="1"/>
  <c r="I27" i="1"/>
  <c r="J116" i="2"/>
  <c r="K116" i="2" s="1"/>
  <c r="K10" i="2"/>
  <c r="L10" i="2" s="1"/>
  <c r="K9" i="2"/>
  <c r="L9" i="2" s="1"/>
  <c r="O26" i="1"/>
  <c r="R68" i="1"/>
  <c r="U64" i="1"/>
  <c r="R73" i="3"/>
  <c r="S73" i="3"/>
  <c r="Q73" i="3"/>
  <c r="N73" i="3"/>
  <c r="T73" i="3"/>
  <c r="U73" i="3" s="1"/>
  <c r="L82" i="3"/>
  <c r="K82" i="3"/>
  <c r="O78" i="3" s="1"/>
  <c r="J82" i="3"/>
  <c r="F82" i="3"/>
  <c r="E82" i="3"/>
  <c r="S78" i="3" s="1"/>
  <c r="D82" i="3"/>
  <c r="L76" i="3"/>
  <c r="K76" i="3"/>
  <c r="O77" i="3" s="1"/>
  <c r="J76" i="3"/>
  <c r="F76" i="3"/>
  <c r="E76" i="3"/>
  <c r="S77" i="3" s="1"/>
  <c r="D76" i="3"/>
  <c r="R58" i="3"/>
  <c r="S58" i="3"/>
  <c r="Q58" i="3"/>
  <c r="N58" i="3"/>
  <c r="T58" i="3"/>
  <c r="U58" i="3" s="1"/>
  <c r="L67" i="3"/>
  <c r="K67" i="3"/>
  <c r="O63" i="3" s="1"/>
  <c r="J67" i="3"/>
  <c r="F67" i="3"/>
  <c r="E67" i="3"/>
  <c r="S63" i="3" s="1"/>
  <c r="D67" i="3"/>
  <c r="L61" i="3"/>
  <c r="K61" i="3"/>
  <c r="O62" i="3" s="1"/>
  <c r="J61" i="3"/>
  <c r="F61" i="3"/>
  <c r="E61" i="3"/>
  <c r="S62" i="3" s="1"/>
  <c r="D61" i="3"/>
  <c r="D139" i="2"/>
  <c r="E139" i="2"/>
  <c r="F139" i="2"/>
  <c r="C139" i="2"/>
  <c r="D78" i="2"/>
  <c r="N97" i="2" s="1"/>
  <c r="D76" i="2"/>
  <c r="D77" i="2"/>
  <c r="D75" i="2"/>
  <c r="R43" i="3"/>
  <c r="S43" i="3"/>
  <c r="Q43" i="3"/>
  <c r="N43" i="3"/>
  <c r="C4" i="3"/>
  <c r="C5" i="3"/>
  <c r="C6" i="3"/>
  <c r="C3" i="3"/>
  <c r="N28" i="3"/>
  <c r="J28" i="3"/>
  <c r="K28" i="3"/>
  <c r="I28" i="3"/>
  <c r="H28" i="3"/>
  <c r="E126" i="2"/>
  <c r="F126" i="2"/>
  <c r="G126" i="2"/>
  <c r="H126" i="2"/>
  <c r="I126" i="2"/>
  <c r="J126" i="2"/>
  <c r="C126" i="2"/>
  <c r="J13" i="3"/>
  <c r="K13" i="3"/>
  <c r="L13" i="3"/>
  <c r="M13" i="3"/>
  <c r="N13" i="3"/>
  <c r="O13" i="3"/>
  <c r="I13" i="3"/>
  <c r="H13" i="3"/>
  <c r="T43" i="3"/>
  <c r="U43" i="3" s="1"/>
  <c r="F52" i="3"/>
  <c r="E52" i="3"/>
  <c r="S48" i="3" s="1"/>
  <c r="D52" i="3"/>
  <c r="F46" i="3"/>
  <c r="E46" i="3"/>
  <c r="S47" i="3" s="1"/>
  <c r="D46" i="3"/>
  <c r="L52" i="3"/>
  <c r="K52" i="3"/>
  <c r="O48" i="3" s="1"/>
  <c r="J52" i="3"/>
  <c r="L46" i="3"/>
  <c r="K46" i="3"/>
  <c r="O47" i="3" s="1"/>
  <c r="J46" i="3"/>
  <c r="F37" i="3"/>
  <c r="E37" i="3"/>
  <c r="I32" i="3" s="1"/>
  <c r="D37" i="3"/>
  <c r="F31" i="3"/>
  <c r="E31" i="3"/>
  <c r="I31" i="3" s="1"/>
  <c r="D31" i="3"/>
  <c r="F22" i="3"/>
  <c r="E22" i="3"/>
  <c r="J17" i="3" s="1"/>
  <c r="D22" i="3"/>
  <c r="I17" i="3" s="1"/>
  <c r="E16" i="3"/>
  <c r="J16" i="3" s="1"/>
  <c r="F16" i="3"/>
  <c r="D16" i="3"/>
  <c r="I16" i="3" s="1"/>
  <c r="N61" i="1"/>
  <c r="R41" i="1"/>
  <c r="M61" i="1"/>
  <c r="R40" i="1"/>
  <c r="R38" i="1"/>
  <c r="R37" i="1"/>
  <c r="D19" i="1"/>
  <c r="L24" i="1" s="1"/>
  <c r="F40" i="1" s="1"/>
  <c r="K139" i="2"/>
  <c r="N95" i="2" l="1"/>
  <c r="N96" i="2"/>
  <c r="H82" i="2"/>
  <c r="I82" i="2" s="1"/>
  <c r="J82" i="2" s="1"/>
  <c r="H84" i="2"/>
  <c r="I84" i="2" s="1"/>
  <c r="J84" i="2" s="1"/>
  <c r="H83" i="2"/>
  <c r="I83" i="2" s="1"/>
  <c r="J83" i="2" s="1"/>
  <c r="E133" i="2"/>
  <c r="I113" i="2"/>
  <c r="I112" i="2"/>
  <c r="P98" i="2"/>
  <c r="Q98" i="2" s="1"/>
  <c r="R98" i="2" s="1"/>
  <c r="I111" i="2"/>
  <c r="I110" i="2"/>
  <c r="I109" i="2"/>
  <c r="I108" i="2"/>
  <c r="L31" i="1"/>
  <c r="L32" i="1"/>
  <c r="L27" i="1"/>
  <c r="L28" i="1"/>
  <c r="L29" i="1"/>
  <c r="L30" i="1"/>
  <c r="M74" i="1"/>
  <c r="M106" i="1"/>
  <c r="M107" i="1"/>
  <c r="M99" i="1"/>
  <c r="M103" i="1"/>
  <c r="M100" i="1"/>
  <c r="M102" i="1"/>
  <c r="M101" i="1"/>
  <c r="M104" i="1"/>
  <c r="M73" i="1"/>
  <c r="M105" i="1"/>
  <c r="P103" i="2"/>
  <c r="Q103" i="2" s="1"/>
  <c r="R103" i="2" s="1"/>
  <c r="F42" i="2" s="1"/>
  <c r="G42" i="2" s="1"/>
  <c r="O31" i="1"/>
  <c r="M93" i="1"/>
  <c r="O28" i="1"/>
  <c r="M90" i="1"/>
  <c r="N27" i="1"/>
  <c r="M76" i="1"/>
  <c r="M89" i="1"/>
  <c r="O27" i="1"/>
  <c r="O30" i="1"/>
  <c r="M92" i="1"/>
  <c r="N28" i="1"/>
  <c r="M77" i="1"/>
  <c r="N30" i="1"/>
  <c r="M79" i="1"/>
  <c r="O29" i="1"/>
  <c r="M91" i="1"/>
  <c r="M78" i="1"/>
  <c r="N29" i="1"/>
  <c r="M94" i="1"/>
  <c r="O32" i="1"/>
  <c r="M80" i="1"/>
  <c r="N31" i="1"/>
  <c r="M81" i="1"/>
  <c r="N32" i="1"/>
  <c r="M75" i="1"/>
  <c r="M88" i="1"/>
  <c r="M86" i="1"/>
  <c r="M87" i="1"/>
  <c r="L26" i="1"/>
  <c r="L25" i="1"/>
  <c r="R63" i="1"/>
  <c r="S64" i="1"/>
  <c r="T64" i="1" s="1"/>
  <c r="V64" i="1" s="1"/>
  <c r="S68" i="1"/>
  <c r="T68" i="1" s="1"/>
  <c r="U68" i="1"/>
  <c r="C133" i="2"/>
  <c r="J133" i="2"/>
  <c r="H133" i="2"/>
  <c r="I133" i="2"/>
  <c r="G133" i="2"/>
  <c r="F133" i="2"/>
  <c r="K17" i="3"/>
  <c r="M17" i="3" s="1"/>
  <c r="Y73" i="3"/>
  <c r="T78" i="3" s="1"/>
  <c r="U78" i="3" s="1"/>
  <c r="V73" i="3"/>
  <c r="W73" i="3" s="1"/>
  <c r="X73" i="3" s="1"/>
  <c r="Z73" i="3" s="1"/>
  <c r="P78" i="3" s="1"/>
  <c r="Q78" i="3" s="1"/>
  <c r="Y43" i="3"/>
  <c r="T48" i="3" s="1"/>
  <c r="U48" i="3" s="1"/>
  <c r="Y58" i="3"/>
  <c r="T63" i="3" s="1"/>
  <c r="U63" i="3" s="1"/>
  <c r="V58" i="3"/>
  <c r="W58" i="3" s="1"/>
  <c r="X58" i="3" s="1"/>
  <c r="Z58" i="3" s="1"/>
  <c r="P62" i="3" s="1"/>
  <c r="L139" i="2"/>
  <c r="M139" i="2" s="1"/>
  <c r="N139" i="2" s="1"/>
  <c r="O139" i="2" s="1"/>
  <c r="V43" i="3"/>
  <c r="W43" i="3" s="1"/>
  <c r="X43" i="3" s="1"/>
  <c r="O28" i="3"/>
  <c r="P28" i="3" s="1"/>
  <c r="O17" i="3"/>
  <c r="O16" i="3"/>
  <c r="K16" i="3"/>
  <c r="M16" i="3" s="1"/>
  <c r="R43" i="1"/>
  <c r="R54" i="1" s="1"/>
  <c r="R55" i="1"/>
  <c r="R56" i="1" s="1"/>
  <c r="R57" i="1" s="1"/>
  <c r="R47" i="1"/>
  <c r="R44" i="1"/>
  <c r="R42" i="1"/>
  <c r="R46" i="1" s="1"/>
  <c r="J113" i="2" l="1"/>
  <c r="K113" i="2" s="1"/>
  <c r="J110" i="2"/>
  <c r="K110" i="2" s="1"/>
  <c r="J111" i="2"/>
  <c r="K111" i="2" s="1"/>
  <c r="P97" i="2"/>
  <c r="Q97" i="2" s="1"/>
  <c r="R97" i="2" s="1"/>
  <c r="F36" i="2" s="1"/>
  <c r="G36" i="2" s="1"/>
  <c r="J112" i="2"/>
  <c r="K112" i="2" s="1"/>
  <c r="J108" i="2"/>
  <c r="J109" i="2"/>
  <c r="K109" i="2" s="1"/>
  <c r="Q30" i="1"/>
  <c r="F46" i="1"/>
  <c r="F45" i="1"/>
  <c r="Q29" i="1"/>
  <c r="Q28" i="1"/>
  <c r="F44" i="1"/>
  <c r="F43" i="1"/>
  <c r="Q27" i="1"/>
  <c r="F48" i="1"/>
  <c r="Q32" i="1"/>
  <c r="Q31" i="1"/>
  <c r="F47" i="1"/>
  <c r="S103" i="2"/>
  <c r="T103" i="2" s="1"/>
  <c r="P99" i="2"/>
  <c r="Q99" i="2" s="1"/>
  <c r="R99" i="2" s="1"/>
  <c r="S99" i="2" s="1"/>
  <c r="F37" i="2"/>
  <c r="G37" i="2" s="1"/>
  <c r="S98" i="2"/>
  <c r="T98" i="2" s="1"/>
  <c r="P101" i="2"/>
  <c r="Q101" i="2" s="1"/>
  <c r="R101" i="2" s="1"/>
  <c r="P102" i="2"/>
  <c r="Q102" i="2" s="1"/>
  <c r="R102" i="2" s="1"/>
  <c r="P96" i="2"/>
  <c r="Q96" i="2" s="1"/>
  <c r="R96" i="2" s="1"/>
  <c r="F35" i="2" s="1"/>
  <c r="G35" i="2" s="1"/>
  <c r="Q25" i="1"/>
  <c r="F41" i="1"/>
  <c r="Q26" i="1"/>
  <c r="F42" i="1"/>
  <c r="Q24" i="1"/>
  <c r="U63" i="1"/>
  <c r="S63" i="1"/>
  <c r="T63" i="1" s="1"/>
  <c r="V68" i="1"/>
  <c r="R53" i="1"/>
  <c r="T62" i="3"/>
  <c r="U62" i="3" s="1"/>
  <c r="T77" i="3"/>
  <c r="U77" i="3" s="1"/>
  <c r="Q28" i="3"/>
  <c r="R28" i="3" s="1"/>
  <c r="T47" i="3"/>
  <c r="U47" i="3" s="1"/>
  <c r="Z43" i="3"/>
  <c r="P47" i="3" s="1"/>
  <c r="Q47" i="3" s="1"/>
  <c r="P63" i="3"/>
  <c r="Q63" i="3" s="1"/>
  <c r="P77" i="3"/>
  <c r="Q77" i="3" s="1"/>
  <c r="R45" i="1"/>
  <c r="Q62" i="3"/>
  <c r="L16" i="3"/>
  <c r="N16" i="3" s="1"/>
  <c r="P16" i="3" s="1"/>
  <c r="Q16" i="3" s="1"/>
  <c r="L17" i="3"/>
  <c r="N17" i="3" s="1"/>
  <c r="P17" i="3" s="1"/>
  <c r="Q17" i="3" s="1"/>
  <c r="R48" i="1"/>
  <c r="R51" i="1" s="1"/>
  <c r="R49" i="1"/>
  <c r="R50" i="1" s="1"/>
  <c r="R59" i="1"/>
  <c r="F49" i="1" l="1"/>
  <c r="K108" i="2"/>
  <c r="P100" i="2"/>
  <c r="Q100" i="2" s="1"/>
  <c r="S97" i="2"/>
  <c r="T97" i="2" s="1"/>
  <c r="H37" i="2"/>
  <c r="I37" i="2" s="1"/>
  <c r="H36" i="2"/>
  <c r="I36" i="2" s="1"/>
  <c r="I47" i="2"/>
  <c r="I49" i="2"/>
  <c r="I52" i="2"/>
  <c r="I51" i="2"/>
  <c r="I50" i="2"/>
  <c r="I53" i="2"/>
  <c r="I55" i="2"/>
  <c r="I54" i="2"/>
  <c r="S102" i="2"/>
  <c r="T102" i="2" s="1"/>
  <c r="F41" i="2"/>
  <c r="G41" i="2" s="1"/>
  <c r="T99" i="2"/>
  <c r="F38" i="2"/>
  <c r="G38" i="2" s="1"/>
  <c r="H38" i="2" s="1"/>
  <c r="I38" i="2" s="1"/>
  <c r="S101" i="2"/>
  <c r="T101" i="2" s="1"/>
  <c r="F40" i="2"/>
  <c r="G40" i="2" s="1"/>
  <c r="H40" i="2" s="1"/>
  <c r="I40" i="2" s="1"/>
  <c r="I48" i="2"/>
  <c r="S96" i="2"/>
  <c r="T96" i="2" s="1"/>
  <c r="P95" i="2"/>
  <c r="Q95" i="2" s="1"/>
  <c r="R95" i="2" s="1"/>
  <c r="W64" i="1"/>
  <c r="W68" i="1"/>
  <c r="V63" i="1"/>
  <c r="W63" i="1" s="1"/>
  <c r="J32" i="3"/>
  <c r="K32" i="3" s="1"/>
  <c r="J31" i="3"/>
  <c r="K31" i="3" s="1"/>
  <c r="P48" i="3"/>
  <c r="Q48" i="3" s="1"/>
  <c r="S95" i="2" l="1"/>
  <c r="T95" i="2" s="1"/>
  <c r="D45" i="2"/>
  <c r="F34" i="2"/>
  <c r="G34" i="2" s="1"/>
  <c r="H35" i="2" s="1"/>
  <c r="I35" i="2" s="1"/>
  <c r="R100" i="2"/>
  <c r="P115" i="1"/>
  <c r="P116" i="1"/>
  <c r="P117" i="1"/>
  <c r="P112" i="1"/>
  <c r="P118" i="1"/>
  <c r="P119" i="1"/>
  <c r="Q117" i="1"/>
  <c r="P111" i="1"/>
  <c r="Q118" i="1"/>
  <c r="Q119" i="1"/>
  <c r="P113" i="1"/>
  <c r="P114" i="1"/>
  <c r="Q112" i="1"/>
  <c r="Q114" i="1"/>
  <c r="Q113" i="1"/>
  <c r="Q115" i="1"/>
  <c r="Q116" i="1"/>
  <c r="Q111" i="1"/>
  <c r="H41" i="2"/>
  <c r="I41" i="2" s="1"/>
  <c r="H42" i="2"/>
  <c r="I42" i="2" s="1"/>
  <c r="K126" i="2" l="1"/>
  <c r="S100" i="2"/>
  <c r="T100" i="2" s="1"/>
  <c r="F39" i="2"/>
  <c r="G39" i="2" s="1"/>
  <c r="H39" i="2" s="1"/>
  <c r="I39" i="2" s="1"/>
  <c r="P139" i="2"/>
  <c r="Q139" i="2" s="1"/>
  <c r="C10" i="1"/>
  <c r="N102" i="1" l="1"/>
  <c r="N107" i="1"/>
  <c r="N103" i="1"/>
  <c r="N106" i="1"/>
  <c r="N105" i="1"/>
  <c r="N81" i="1"/>
  <c r="N104" i="1"/>
  <c r="N78" i="1"/>
  <c r="N89" i="1"/>
  <c r="N93" i="1"/>
  <c r="N79" i="1"/>
  <c r="N91" i="1"/>
  <c r="N76" i="1"/>
  <c r="N92" i="1"/>
  <c r="N94" i="1"/>
  <c r="N90" i="1"/>
  <c r="N77" i="1"/>
  <c r="N80" i="1"/>
  <c r="G46" i="1"/>
  <c r="G43" i="1"/>
  <c r="G44" i="1"/>
  <c r="G47" i="1"/>
  <c r="G48" i="1"/>
  <c r="G45" i="1"/>
  <c r="N101" i="1"/>
  <c r="N74" i="1"/>
  <c r="N75" i="1"/>
  <c r="N100" i="1"/>
  <c r="N87" i="1"/>
  <c r="N86" i="1"/>
  <c r="N88" i="1"/>
  <c r="N99" i="1"/>
  <c r="N73" i="1"/>
  <c r="V73" i="1" s="1"/>
  <c r="G40" i="1"/>
  <c r="D21" i="2" s="1"/>
  <c r="G42" i="1"/>
  <c r="G41" i="1"/>
  <c r="O133" i="2"/>
  <c r="K133" i="2"/>
  <c r="O126" i="2"/>
  <c r="M126" i="2"/>
  <c r="L126" i="2"/>
  <c r="C52" i="1"/>
  <c r="N126" i="2" l="1"/>
  <c r="P126" i="2" s="1"/>
  <c r="Q126" i="2" s="1"/>
  <c r="U93" i="1"/>
  <c r="V93" i="1"/>
  <c r="P93" i="1"/>
  <c r="F58" i="1"/>
  <c r="I45" i="1"/>
  <c r="D26" i="2"/>
  <c r="V91" i="1"/>
  <c r="P91" i="1"/>
  <c r="U91" i="1"/>
  <c r="F61" i="1"/>
  <c r="D29" i="2"/>
  <c r="E29" i="2" s="1"/>
  <c r="F29" i="2" s="1"/>
  <c r="I48" i="1"/>
  <c r="F60" i="1"/>
  <c r="D28" i="2"/>
  <c r="I47" i="1"/>
  <c r="P77" i="1"/>
  <c r="U77" i="1"/>
  <c r="V77" i="1"/>
  <c r="V103" i="1"/>
  <c r="P103" i="1"/>
  <c r="U103" i="1"/>
  <c r="F57" i="1"/>
  <c r="D25" i="2"/>
  <c r="I44" i="1"/>
  <c r="P89" i="1"/>
  <c r="V89" i="1"/>
  <c r="U89" i="1"/>
  <c r="D24" i="2"/>
  <c r="F56" i="1"/>
  <c r="I43" i="1"/>
  <c r="P78" i="1"/>
  <c r="U78" i="1"/>
  <c r="V78" i="1"/>
  <c r="U80" i="1"/>
  <c r="V80" i="1"/>
  <c r="P80" i="1"/>
  <c r="U90" i="1"/>
  <c r="P90" i="1"/>
  <c r="V90" i="1"/>
  <c r="V106" i="1"/>
  <c r="P106" i="1"/>
  <c r="U106" i="1"/>
  <c r="V92" i="1"/>
  <c r="U92" i="1"/>
  <c r="P92" i="1"/>
  <c r="P107" i="1"/>
  <c r="V107" i="1"/>
  <c r="U107" i="1"/>
  <c r="U79" i="1"/>
  <c r="V79" i="1"/>
  <c r="P79" i="1"/>
  <c r="F59" i="1"/>
  <c r="D27" i="2"/>
  <c r="E27" i="2" s="1"/>
  <c r="F27" i="2" s="1"/>
  <c r="I46" i="1"/>
  <c r="U104" i="1"/>
  <c r="V104" i="1"/>
  <c r="P104" i="1"/>
  <c r="V81" i="1"/>
  <c r="P81" i="1"/>
  <c r="U81" i="1"/>
  <c r="P105" i="1"/>
  <c r="U105" i="1"/>
  <c r="V105" i="1"/>
  <c r="P94" i="1"/>
  <c r="V94" i="1"/>
  <c r="U94" i="1"/>
  <c r="V76" i="1"/>
  <c r="P76" i="1"/>
  <c r="U76" i="1"/>
  <c r="P102" i="1"/>
  <c r="U102" i="1"/>
  <c r="V102" i="1"/>
  <c r="U88" i="1"/>
  <c r="V88" i="1"/>
  <c r="P88" i="1"/>
  <c r="V87" i="1"/>
  <c r="U87" i="1"/>
  <c r="P87" i="1"/>
  <c r="P100" i="1"/>
  <c r="V100" i="1"/>
  <c r="U100" i="1"/>
  <c r="U75" i="1"/>
  <c r="V75" i="1"/>
  <c r="P75" i="1"/>
  <c r="P86" i="1"/>
  <c r="U86" i="1"/>
  <c r="V86" i="1"/>
  <c r="I41" i="1"/>
  <c r="D22" i="2"/>
  <c r="E22" i="2" s="1"/>
  <c r="F22" i="2" s="1"/>
  <c r="I42" i="1"/>
  <c r="D23" i="2"/>
  <c r="U74" i="1"/>
  <c r="V74" i="1"/>
  <c r="P74" i="1"/>
  <c r="P101" i="1"/>
  <c r="V101" i="1"/>
  <c r="U101" i="1"/>
  <c r="U73" i="1"/>
  <c r="P73" i="1"/>
  <c r="V99" i="1"/>
  <c r="U99" i="1"/>
  <c r="P99" i="1"/>
  <c r="F53" i="1"/>
  <c r="G49" i="1"/>
  <c r="I40" i="1"/>
  <c r="M133" i="2"/>
  <c r="L133" i="2"/>
  <c r="C69" i="1"/>
  <c r="C64" i="1"/>
  <c r="F55" i="1"/>
  <c r="N133" i="2" l="1"/>
  <c r="E25" i="2"/>
  <c r="F25" i="2" s="1"/>
  <c r="H61" i="1"/>
  <c r="I61" i="1"/>
  <c r="E26" i="2"/>
  <c r="F26" i="2" s="1"/>
  <c r="H56" i="1"/>
  <c r="I56" i="1"/>
  <c r="I59" i="1"/>
  <c r="H59" i="1"/>
  <c r="H58" i="1"/>
  <c r="I58" i="1"/>
  <c r="H57" i="1"/>
  <c r="I57" i="1"/>
  <c r="M66" i="1"/>
  <c r="V95" i="1"/>
  <c r="U95" i="1"/>
  <c r="E28" i="2"/>
  <c r="F28" i="2" s="1"/>
  <c r="N66" i="1"/>
  <c r="I60" i="1"/>
  <c r="H60" i="1"/>
  <c r="U108" i="1"/>
  <c r="V108" i="1"/>
  <c r="H68" i="2"/>
  <c r="J68" i="2" s="1"/>
  <c r="K68" i="2" s="1"/>
  <c r="H67" i="2"/>
  <c r="J67" i="2" s="1"/>
  <c r="K67" i="2" s="1"/>
  <c r="H54" i="2"/>
  <c r="H55" i="2"/>
  <c r="H51" i="2"/>
  <c r="H50" i="2"/>
  <c r="H52" i="2"/>
  <c r="H53" i="2"/>
  <c r="H65" i="2"/>
  <c r="J65" i="2" s="1"/>
  <c r="K65" i="2" s="1"/>
  <c r="H64" i="2"/>
  <c r="J64" i="2" s="1"/>
  <c r="K64" i="2" s="1"/>
  <c r="H63" i="2"/>
  <c r="J63" i="2" s="1"/>
  <c r="K63" i="2" s="1"/>
  <c r="H66" i="2"/>
  <c r="J66" i="2" s="1"/>
  <c r="K66" i="2" s="1"/>
  <c r="E23" i="2"/>
  <c r="F23" i="2" s="1"/>
  <c r="E24" i="2"/>
  <c r="F24" i="2" s="1"/>
  <c r="V82" i="1"/>
  <c r="U82" i="1"/>
  <c r="I49" i="1"/>
  <c r="H47" i="2"/>
  <c r="H48" i="2"/>
  <c r="H49" i="2"/>
  <c r="H60" i="2"/>
  <c r="J60" i="2" s="1"/>
  <c r="K60" i="2" s="1"/>
  <c r="H61" i="2"/>
  <c r="J61" i="2" s="1"/>
  <c r="K61" i="2" s="1"/>
  <c r="H62" i="2"/>
  <c r="J62" i="2" s="1"/>
  <c r="K62" i="2" s="1"/>
  <c r="O66" i="1"/>
  <c r="I53" i="1"/>
  <c r="H53" i="1"/>
  <c r="H55" i="1"/>
  <c r="I55" i="1"/>
  <c r="P133" i="2" l="1"/>
  <c r="Q133" i="2" s="1"/>
  <c r="M67" i="1"/>
  <c r="N67" i="1"/>
  <c r="O67" i="1"/>
  <c r="F54" i="1"/>
  <c r="C65" i="1"/>
  <c r="C66" i="1"/>
  <c r="C70" i="1" s="1"/>
  <c r="J40" i="1" s="1"/>
  <c r="O62" i="1" l="1"/>
  <c r="O65" i="1"/>
  <c r="O64" i="1" s="1"/>
  <c r="O63" i="1"/>
  <c r="O58" i="1"/>
  <c r="O57" i="1" s="1"/>
  <c r="J48" i="1"/>
  <c r="J43" i="1"/>
  <c r="J45" i="1"/>
  <c r="J46" i="1"/>
  <c r="J47" i="1"/>
  <c r="J44" i="1"/>
  <c r="M62" i="1"/>
  <c r="M58" i="1"/>
  <c r="M57" i="1" s="1"/>
  <c r="M65" i="1"/>
  <c r="M64" i="1" s="1"/>
  <c r="M63" i="1"/>
  <c r="N58" i="1"/>
  <c r="N57" i="1" s="1"/>
  <c r="N62" i="1"/>
  <c r="N63" i="1"/>
  <c r="N65" i="1"/>
  <c r="N64" i="1" s="1"/>
  <c r="H54" i="1"/>
  <c r="H62" i="1" s="1"/>
  <c r="I54" i="1"/>
  <c r="J42" i="1"/>
  <c r="J41" i="1"/>
  <c r="C67" i="1"/>
  <c r="O59" i="1" l="1"/>
  <c r="O56" i="1" s="1"/>
  <c r="N59" i="1"/>
  <c r="N56" i="1" s="1"/>
  <c r="I62" i="1"/>
  <c r="F64" i="1" s="1"/>
  <c r="J48" i="2"/>
  <c r="K48" i="2" s="1"/>
  <c r="L48" i="2" s="1"/>
  <c r="J49" i="2"/>
  <c r="K49" i="2" s="1"/>
  <c r="L49" i="2" s="1"/>
  <c r="J54" i="2"/>
  <c r="K54" i="2" s="1"/>
  <c r="L54" i="2" s="1"/>
  <c r="J52" i="2"/>
  <c r="K52" i="2" s="1"/>
  <c r="L52" i="2" s="1"/>
  <c r="J50" i="2"/>
  <c r="K50" i="2" s="1"/>
  <c r="L50" i="2" s="1"/>
  <c r="J55" i="2"/>
  <c r="K55" i="2" s="1"/>
  <c r="L55" i="2" s="1"/>
  <c r="J51" i="2"/>
  <c r="K51" i="2" s="1"/>
  <c r="L51" i="2" s="1"/>
  <c r="J53" i="2"/>
  <c r="K53" i="2" s="1"/>
  <c r="L53" i="2" s="1"/>
  <c r="J47" i="2"/>
  <c r="J49" i="1"/>
  <c r="M59" i="1"/>
  <c r="M56" i="1" s="1"/>
  <c r="M55" i="1" s="1"/>
  <c r="K47" i="2" l="1"/>
  <c r="L47" i="2" s="1"/>
  <c r="O55" i="1"/>
  <c r="O54" i="1" s="1"/>
  <c r="O52" i="1" s="1"/>
  <c r="N55" i="1"/>
  <c r="N54" i="1" s="1"/>
  <c r="N52" i="1" s="1"/>
  <c r="M54" i="1"/>
  <c r="M52" i="1" s="1"/>
  <c r="N125" i="1" s="1"/>
  <c r="U128" i="1" l="1"/>
  <c r="U126" i="1"/>
  <c r="U131" i="1"/>
  <c r="U145" i="1" s="1"/>
  <c r="U129" i="1"/>
  <c r="V131" i="1"/>
  <c r="V145" i="1" s="1"/>
  <c r="V130" i="1"/>
  <c r="V144" i="1" s="1"/>
  <c r="U133" i="1"/>
  <c r="U147" i="1" s="1"/>
  <c r="V128" i="1"/>
  <c r="V142" i="1" s="1"/>
  <c r="U130" i="1"/>
  <c r="U125" i="1"/>
  <c r="V129" i="1"/>
  <c r="V143" i="1" s="1"/>
  <c r="U132" i="1"/>
  <c r="U146" i="1" s="1"/>
  <c r="U127" i="1"/>
  <c r="V125" i="1"/>
  <c r="V139" i="1" s="1"/>
  <c r="V126" i="1"/>
  <c r="V140" i="1" s="1"/>
  <c r="V132" i="1"/>
  <c r="V146" i="1" s="1"/>
  <c r="V127" i="1"/>
  <c r="V141" i="1" s="1"/>
  <c r="V133" i="1"/>
  <c r="V147" i="1" s="1"/>
  <c r="Q127" i="1"/>
  <c r="Q132" i="1"/>
  <c r="Q146" i="1" s="1"/>
  <c r="Q133" i="1"/>
  <c r="Q147" i="1" s="1"/>
  <c r="Q128" i="1"/>
  <c r="Q129" i="1"/>
  <c r="Q131" i="1"/>
  <c r="Q145" i="1" s="1"/>
  <c r="Q125" i="1"/>
  <c r="Q130" i="1"/>
  <c r="Q126" i="1"/>
  <c r="N128" i="1"/>
  <c r="N142" i="1" s="1"/>
  <c r="N132" i="1"/>
  <c r="N146" i="1" s="1"/>
  <c r="R128" i="1"/>
  <c r="R142" i="1" s="1"/>
  <c r="R132" i="1"/>
  <c r="R146" i="1" s="1"/>
  <c r="R125" i="1"/>
  <c r="N133" i="1"/>
  <c r="N147" i="1" s="1"/>
  <c r="M125" i="1"/>
  <c r="O125" i="1" s="1"/>
  <c r="R133" i="1"/>
  <c r="R147" i="1" s="1"/>
  <c r="M126" i="1"/>
  <c r="O126" i="1" s="1"/>
  <c r="M132" i="1"/>
  <c r="R129" i="1"/>
  <c r="R143" i="1" s="1"/>
  <c r="R131" i="1"/>
  <c r="R145" i="1" s="1"/>
  <c r="R130" i="1"/>
  <c r="R144" i="1" s="1"/>
  <c r="M133" i="1"/>
  <c r="N130" i="1"/>
  <c r="N144" i="1" s="1"/>
  <c r="N131" i="1"/>
  <c r="N145" i="1" s="1"/>
  <c r="N129" i="1"/>
  <c r="N143" i="1" s="1"/>
  <c r="M129" i="1"/>
  <c r="O129" i="1" s="1"/>
  <c r="M130" i="1"/>
  <c r="O130" i="1" s="1"/>
  <c r="M131" i="1"/>
  <c r="M128" i="1"/>
  <c r="O128" i="1" s="1"/>
  <c r="N126" i="1"/>
  <c r="N140" i="1" s="1"/>
  <c r="N127" i="1"/>
  <c r="N141" i="1" s="1"/>
  <c r="R127" i="1"/>
  <c r="R141" i="1" s="1"/>
  <c r="R126" i="1"/>
  <c r="R140" i="1" s="1"/>
  <c r="M127" i="1"/>
  <c r="O127" i="1" l="1"/>
  <c r="W125" i="1"/>
  <c r="U144" i="1"/>
  <c r="W144" i="1" s="1"/>
  <c r="W130" i="1"/>
  <c r="Q141" i="1"/>
  <c r="S141" i="1" s="1"/>
  <c r="S127" i="1"/>
  <c r="U143" i="1"/>
  <c r="W143" i="1" s="1"/>
  <c r="W129" i="1"/>
  <c r="Q142" i="1"/>
  <c r="S142" i="1" s="1"/>
  <c r="S128" i="1"/>
  <c r="Q140" i="1"/>
  <c r="S140" i="1" s="1"/>
  <c r="S126" i="1"/>
  <c r="U140" i="1"/>
  <c r="W140" i="1" s="1"/>
  <c r="W126" i="1"/>
  <c r="Q143" i="1"/>
  <c r="S143" i="1" s="1"/>
  <c r="S129" i="1"/>
  <c r="Q144" i="1"/>
  <c r="S144" i="1" s="1"/>
  <c r="S130" i="1"/>
  <c r="S125" i="1"/>
  <c r="U141" i="1"/>
  <c r="W141" i="1" s="1"/>
  <c r="W127" i="1"/>
  <c r="U142" i="1"/>
  <c r="W142" i="1" s="1"/>
  <c r="W128" i="1"/>
  <c r="V148" i="1"/>
  <c r="U139" i="1"/>
  <c r="U134" i="1"/>
  <c r="V134" i="1"/>
  <c r="Q134" i="1"/>
  <c r="Q139" i="1"/>
  <c r="M147" i="1"/>
  <c r="M140" i="1"/>
  <c r="O140" i="1" s="1"/>
  <c r="M141" i="1"/>
  <c r="O141" i="1" s="1"/>
  <c r="M146" i="1"/>
  <c r="M145" i="1"/>
  <c r="M142" i="1"/>
  <c r="O142" i="1" s="1"/>
  <c r="M144" i="1"/>
  <c r="O144" i="1" s="1"/>
  <c r="M143" i="1"/>
  <c r="O143" i="1" s="1"/>
  <c r="N139" i="1"/>
  <c r="N148" i="1" s="1"/>
  <c r="N134" i="1"/>
  <c r="M139" i="1"/>
  <c r="M134" i="1"/>
  <c r="R139" i="1"/>
  <c r="R148" i="1" s="1"/>
  <c r="R134" i="1"/>
  <c r="O134" i="1" l="1"/>
  <c r="U148" i="1"/>
  <c r="W148" i="1" s="1"/>
  <c r="W139" i="1"/>
  <c r="Q148" i="1"/>
  <c r="S139" i="1"/>
  <c r="O139" i="1"/>
  <c r="W134" i="1"/>
  <c r="S134" i="1"/>
  <c r="S148" i="1"/>
  <c r="M148" i="1"/>
  <c r="O148" i="1" s="1"/>
</calcChain>
</file>

<file path=xl/sharedStrings.xml><?xml version="1.0" encoding="utf-8"?>
<sst xmlns="http://schemas.openxmlformats.org/spreadsheetml/2006/main" count="754" uniqueCount="319">
  <si>
    <t>Building Width</t>
  </si>
  <si>
    <t>G [kPa]</t>
  </si>
  <si>
    <t>Q [kPa]</t>
  </si>
  <si>
    <t>Storey</t>
  </si>
  <si>
    <t>W_i [kN]</t>
  </si>
  <si>
    <t>m</t>
  </si>
  <si>
    <t>g</t>
  </si>
  <si>
    <t>m/s²</t>
  </si>
  <si>
    <t>s</t>
  </si>
  <si>
    <t>Period est.</t>
  </si>
  <si>
    <t>S_alpha_475</t>
  </si>
  <si>
    <t>S_beta_475</t>
  </si>
  <si>
    <t>Soil Class</t>
  </si>
  <si>
    <t>C</t>
  </si>
  <si>
    <t>FT</t>
  </si>
  <si>
    <t>F_alpha</t>
  </si>
  <si>
    <t>F_beta</t>
  </si>
  <si>
    <r>
      <t>S</t>
    </r>
    <r>
      <rPr>
        <vertAlign val="subscript"/>
        <sz val="11"/>
        <color theme="1"/>
        <rFont val="Aptos Narrow"/>
        <family val="2"/>
      </rPr>
      <t>α</t>
    </r>
  </si>
  <si>
    <r>
      <t>S</t>
    </r>
    <r>
      <rPr>
        <vertAlign val="subscript"/>
        <sz val="11"/>
        <color theme="1"/>
        <rFont val="Aptos Narrow"/>
        <family val="2"/>
      </rPr>
      <t>ϐ</t>
    </r>
  </si>
  <si>
    <t>T_A</t>
  </si>
  <si>
    <t>T_B</t>
  </si>
  <si>
    <t>T_C</t>
  </si>
  <si>
    <t>T_D</t>
  </si>
  <si>
    <r>
      <t>T_</t>
    </r>
    <r>
      <rPr>
        <sz val="11"/>
        <color theme="1"/>
        <rFont val="Aptos Narrow"/>
        <family val="2"/>
      </rPr>
      <t>β</t>
    </r>
  </si>
  <si>
    <t>F_A</t>
  </si>
  <si>
    <t>χ</t>
  </si>
  <si>
    <t>S_e(T)</t>
  </si>
  <si>
    <t>eta</t>
  </si>
  <si>
    <t>V_base</t>
  </si>
  <si>
    <t>lambda</t>
  </si>
  <si>
    <t>No. Storeys</t>
  </si>
  <si>
    <t>kN</t>
  </si>
  <si>
    <t>F_i [kN]</t>
  </si>
  <si>
    <t>hi [m]</t>
  </si>
  <si>
    <t>Hi [m]</t>
  </si>
  <si>
    <t>m_i [t]</t>
  </si>
  <si>
    <t>mi * Hi</t>
  </si>
  <si>
    <t>si [m]</t>
  </si>
  <si>
    <t xml:space="preserve"> --&gt; Period Check: ec8-1-2:2023 §5.3.3(3)</t>
  </si>
  <si>
    <t>mi * si</t>
  </si>
  <si>
    <t>mi * si²</t>
  </si>
  <si>
    <t>R_q</t>
  </si>
  <si>
    <t>q_max</t>
  </si>
  <si>
    <t>q_d</t>
  </si>
  <si>
    <t>q_R</t>
  </si>
  <si>
    <t>q_S</t>
  </si>
  <si>
    <t>S_r(T)</t>
  </si>
  <si>
    <r>
      <t>Period, T</t>
    </r>
    <r>
      <rPr>
        <vertAlign val="subscript"/>
        <sz val="11"/>
        <color theme="1"/>
        <rFont val="Aptos Narrow"/>
        <family val="2"/>
        <scheme val="minor"/>
      </rPr>
      <t>1</t>
    </r>
  </si>
  <si>
    <t>h [cm]</t>
  </si>
  <si>
    <t>θ</t>
  </si>
  <si>
    <t>q_disp</t>
  </si>
  <si>
    <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</si>
  <si>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u</t>
    </r>
    <r>
      <rPr>
        <b/>
        <vertAlign val="subscript"/>
        <sz val="10"/>
        <rFont val="Arial"/>
        <family val="2"/>
      </rPr>
      <t>x,i-1</t>
    </r>
    <r>
      <rPr>
        <b/>
        <sz val="10"/>
        <rFont val="Arial"/>
        <family val="2"/>
      </rPr>
      <t xml:space="preserve"> [cm]</t>
    </r>
  </si>
  <si>
    <r>
      <t>Δ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</si>
  <si>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P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</si>
  <si>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r>
      <t>V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</si>
  <si>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t>EC8-1-2:2023 §6.2.5(1) Storey Drifts: Control of damage</t>
  </si>
  <si>
    <r>
      <rPr>
        <sz val="11"/>
        <color theme="1"/>
        <rFont val="Aptos Narrow"/>
        <family val="2"/>
      </rPr>
      <t>λ</t>
    </r>
    <r>
      <rPr>
        <vertAlign val="subscript"/>
        <sz val="11"/>
        <color theme="1"/>
        <rFont val="Aptos Narrow"/>
        <family val="2"/>
      </rPr>
      <t>s</t>
    </r>
  </si>
  <si>
    <r>
      <t>λ</t>
    </r>
    <r>
      <rPr>
        <vertAlign val="subscript"/>
        <sz val="11"/>
        <color theme="1"/>
        <rFont val="Aptos Narrow"/>
        <family val="2"/>
      </rPr>
      <t xml:space="preserve">s </t>
    </r>
    <r>
      <rPr>
        <sz val="11"/>
        <color theme="1"/>
        <rFont val="Aptos Narrow"/>
        <family val="2"/>
      </rPr>
      <t xml:space="preserve">· </t>
    </r>
    <r>
      <rPr>
        <b/>
        <sz val="11"/>
        <color theme="1"/>
        <rFont val="Aptos Narrow"/>
        <family val="2"/>
      </rPr>
      <t>h</t>
    </r>
    <r>
      <rPr>
        <b/>
        <vertAlign val="subscript"/>
        <sz val="11"/>
        <color theme="1"/>
        <rFont val="Aptos Narrow"/>
        <family val="2"/>
      </rPr>
      <t>s</t>
    </r>
  </si>
  <si>
    <r>
      <t>d</t>
    </r>
    <r>
      <rPr>
        <b/>
        <vertAlign val="subscript"/>
        <sz val="10"/>
        <rFont val="Arial"/>
        <family val="2"/>
      </rPr>
      <t>r,SD</t>
    </r>
    <r>
      <rPr>
        <b/>
        <sz val="10"/>
        <rFont val="Arial"/>
        <family val="2"/>
      </rPr>
      <t xml:space="preserve"> [-]</t>
    </r>
  </si>
  <si>
    <t>fy</t>
  </si>
  <si>
    <t>kN/cm²</t>
  </si>
  <si>
    <t>gamma_M0</t>
  </si>
  <si>
    <t>Section</t>
  </si>
  <si>
    <t>A [cm²]</t>
  </si>
  <si>
    <t>N,Ed [kN]</t>
  </si>
  <si>
    <t>Npl,Rd [kN]</t>
  </si>
  <si>
    <t>η</t>
  </si>
  <si>
    <t>L [cm]</t>
  </si>
  <si>
    <t>i [cm]</t>
  </si>
  <si>
    <t>Lcr [cm]</t>
  </si>
  <si>
    <r>
      <t>λ</t>
    </r>
    <r>
      <rPr>
        <vertAlign val="subscript"/>
        <sz val="11"/>
        <color theme="1"/>
        <rFont val="Aptos Narrow"/>
        <family val="2"/>
      </rPr>
      <t>1</t>
    </r>
  </si>
  <si>
    <t>λ_bar</t>
  </si>
  <si>
    <t>α</t>
  </si>
  <si>
    <t>Φ</t>
  </si>
  <si>
    <t>Nb,Rd [kN]</t>
  </si>
  <si>
    <t>Braces in Tension</t>
  </si>
  <si>
    <t>Braces have equal cross sections and inclinations. This clause is satisfied without the need for calculation</t>
  </si>
  <si>
    <t>EC8-1-2:2023 §11.10.1(2) Equal response</t>
  </si>
  <si>
    <t>D</t>
  </si>
  <si>
    <t>t</t>
  </si>
  <si>
    <t>d/t</t>
  </si>
  <si>
    <t>EC8-1-2:2023 §11.10.3 Diagonal Members</t>
  </si>
  <si>
    <t>§11.10.3(1) --&gt; cross section class</t>
  </si>
  <si>
    <t>§11.10.3(8) --&gt; brace compression capacity</t>
  </si>
  <si>
    <t>Beam Trib width</t>
  </si>
  <si>
    <t>E</t>
  </si>
  <si>
    <t>N_Ed,E</t>
  </si>
  <si>
    <t>N_Ed,G</t>
  </si>
  <si>
    <t>M_Ed</t>
  </si>
  <si>
    <t>V_Ed</t>
  </si>
  <si>
    <t>N_Ed</t>
  </si>
  <si>
    <t>Mpl,Rd</t>
  </si>
  <si>
    <t>Npl,Rd</t>
  </si>
  <si>
    <t>hw</t>
  </si>
  <si>
    <t>tw</t>
  </si>
  <si>
    <t>A</t>
  </si>
  <si>
    <t>Ω</t>
  </si>
  <si>
    <t>N_Ed,E [kN]</t>
  </si>
  <si>
    <t>N_G_Ed [kN]</t>
  </si>
  <si>
    <t>N_Ed [kN]</t>
  </si>
  <si>
    <t>M-N int</t>
  </si>
  <si>
    <t>n</t>
  </si>
  <si>
    <t>a*</t>
  </si>
  <si>
    <t>b</t>
  </si>
  <si>
    <t>tf</t>
  </si>
  <si>
    <r>
      <t>η</t>
    </r>
    <r>
      <rPr>
        <b/>
        <vertAlign val="subscript"/>
        <sz val="11"/>
        <color theme="1"/>
        <rFont val="Calibri"/>
        <family val="2"/>
      </rPr>
      <t>N</t>
    </r>
  </si>
  <si>
    <r>
      <t>η</t>
    </r>
    <r>
      <rPr>
        <b/>
        <vertAlign val="subscript"/>
        <sz val="11"/>
        <color theme="1"/>
        <rFont val="Calibri"/>
        <family val="2"/>
      </rPr>
      <t>M</t>
    </r>
  </si>
  <si>
    <t>L_bay</t>
  </si>
  <si>
    <t>h_s</t>
  </si>
  <si>
    <t>M_N,Rd</t>
  </si>
  <si>
    <t>EC8-1-2:2023 Structural Design Checks</t>
  </si>
  <si>
    <t>EC8-1-2:2023 §4.4.4(2)c Overstrength regularity</t>
  </si>
  <si>
    <t>EC8-1-2:2023 §4.4.4.2(1)b Structural regularity --&gt; Stiffness</t>
  </si>
  <si>
    <t>EC8-1-2:2023 §4.4.4.2(1)b Structural regularity --&gt; Mass</t>
  </si>
  <si>
    <t xml:space="preserve"> --&gt; lateral stiffness assumed to be the horizontal component of the brace stiffness</t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</si>
  <si>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</si>
  <si>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 xml:space="preserve"> / m</t>
    </r>
    <r>
      <rPr>
        <b/>
        <vertAlign val="subscript"/>
        <sz val="11"/>
        <color theme="1"/>
        <rFont val="Aptos Narrow"/>
        <family val="2"/>
        <scheme val="minor"/>
      </rPr>
      <t>i-1</t>
    </r>
  </si>
  <si>
    <t>&lt;-- must be constant or decrease by not more than 20%</t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</si>
  <si>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</si>
  <si>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/ K</t>
    </r>
    <r>
      <rPr>
        <b/>
        <vertAlign val="subscript"/>
        <sz val="11"/>
        <color theme="1"/>
        <rFont val="Aptos Narrow"/>
        <family val="2"/>
        <scheme val="minor"/>
      </rPr>
      <t>h,i-1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</si>
  <si>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brace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</si>
  <si>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Act. V</t>
    </r>
    <r>
      <rPr>
        <b/>
        <vertAlign val="subscript"/>
        <sz val="11"/>
        <color theme="1"/>
        <rFont val="Aptos Narrow"/>
        <family val="2"/>
        <scheme val="minor"/>
      </rPr>
      <t>tot</t>
    </r>
  </si>
  <si>
    <t>&lt;-- must not vary between storeys by more than 30%</t>
  </si>
  <si>
    <t>Storey N_Ed</t>
  </si>
  <si>
    <t>gamma_M1</t>
  </si>
  <si>
    <t>γ</t>
  </si>
  <si>
    <t>G</t>
  </si>
  <si>
    <t>Q</t>
  </si>
  <si>
    <t>W</t>
  </si>
  <si>
    <t>I</t>
  </si>
  <si>
    <t>φ</t>
  </si>
  <si>
    <t>GQEI</t>
  </si>
  <si>
    <t>Floor Loads [kPa]</t>
  </si>
  <si>
    <t>Beam UDLs [kN/m]</t>
  </si>
  <si>
    <t>LC1</t>
  </si>
  <si>
    <t>LC2</t>
  </si>
  <si>
    <t>Stab</t>
  </si>
  <si>
    <t>G+Q</t>
  </si>
  <si>
    <t>Σ</t>
  </si>
  <si>
    <t>Floor Loads</t>
  </si>
  <si>
    <t>Seismic Loads --&gt; EC8-1-1:2022</t>
  </si>
  <si>
    <t>Wind Loads --&gt; EC1-4:2010</t>
  </si>
  <si>
    <t>Windzone</t>
  </si>
  <si>
    <t>v_b0</t>
  </si>
  <si>
    <t>m/s</t>
  </si>
  <si>
    <t>q_b0</t>
  </si>
  <si>
    <t>c_pe_wind</t>
  </si>
  <si>
    <t>c_pe_lee</t>
  </si>
  <si>
    <t>c_0</t>
  </si>
  <si>
    <t>z_0</t>
  </si>
  <si>
    <t>k_I</t>
  </si>
  <si>
    <t>z_min</t>
  </si>
  <si>
    <t>c_dir</t>
  </si>
  <si>
    <t>c_season</t>
  </si>
  <si>
    <t>Terrain Cat.</t>
  </si>
  <si>
    <t>Topography</t>
  </si>
  <si>
    <t>Flat</t>
  </si>
  <si>
    <t>c_r</t>
  </si>
  <si>
    <t>k_r</t>
  </si>
  <si>
    <t>v_b</t>
  </si>
  <si>
    <t>v_m [m/s]</t>
  </si>
  <si>
    <t>ρ</t>
  </si>
  <si>
    <t>kg/m³</t>
  </si>
  <si>
    <t>I_v</t>
  </si>
  <si>
    <t>q_p [kPa]</t>
  </si>
  <si>
    <t>h</t>
  </si>
  <si>
    <t>d</t>
  </si>
  <si>
    <t>h/d</t>
  </si>
  <si>
    <t>Building Depth</t>
  </si>
  <si>
    <t>Lateral Trib width</t>
  </si>
  <si>
    <t>&lt;-- tributary width for seismic mass / lateral loads</t>
  </si>
  <si>
    <t>cscd</t>
  </si>
  <si>
    <t>alpha</t>
  </si>
  <si>
    <t>L(z)</t>
  </si>
  <si>
    <t>B²</t>
  </si>
  <si>
    <t>R²</t>
  </si>
  <si>
    <t>SL</t>
  </si>
  <si>
    <t>Ks</t>
  </si>
  <si>
    <t>G_y</t>
  </si>
  <si>
    <t>G_z</t>
  </si>
  <si>
    <t>φy</t>
  </si>
  <si>
    <t>zs</t>
  </si>
  <si>
    <t>vm(zs)</t>
  </si>
  <si>
    <t>c_r(zs)</t>
  </si>
  <si>
    <t>φz</t>
  </si>
  <si>
    <t>f_L</t>
  </si>
  <si>
    <t>δs</t>
  </si>
  <si>
    <t>δa</t>
  </si>
  <si>
    <t>cf</t>
  </si>
  <si>
    <t>d/b</t>
  </si>
  <si>
    <t>cf,0</t>
  </si>
  <si>
    <t>ψ_λ</t>
  </si>
  <si>
    <t>λ</t>
  </si>
  <si>
    <t>h/b</t>
  </si>
  <si>
    <t>l/b</t>
  </si>
  <si>
    <t>ψ_r</t>
  </si>
  <si>
    <t>si²</t>
  </si>
  <si>
    <t>δ</t>
  </si>
  <si>
    <t>kp</t>
  </si>
  <si>
    <t>I_v(zs)</t>
  </si>
  <si>
    <t>trib_h [m]</t>
  </si>
  <si>
    <t>m [t/m]</t>
  </si>
  <si>
    <t>Φ²</t>
  </si>
  <si>
    <t>F_wind</t>
  </si>
  <si>
    <t>F_lee</t>
  </si>
  <si>
    <r>
      <t xml:space="preserve">F_w [kN] -  </t>
    </r>
    <r>
      <rPr>
        <b/>
        <sz val="11"/>
        <color theme="1"/>
        <rFont val="Aptos Narrow"/>
        <family val="2"/>
      </rPr>
      <t>design loads</t>
    </r>
  </si>
  <si>
    <t xml:space="preserve"> --&gt; The sign for the axial force is reversed so that it corresponds with the opensees code (-ve values at end i are tension, +ve values are compression)</t>
  </si>
  <si>
    <t>Demands</t>
  </si>
  <si>
    <t>Verification</t>
  </si>
  <si>
    <t>Beams</t>
  </si>
  <si>
    <t>Columns</t>
  </si>
  <si>
    <t xml:space="preserve"> --&gt; maximum compression force is larger than the maximum tension force. </t>
  </si>
  <si>
    <t xml:space="preserve"> --&gt; The fact that the buckling check passes means that the tension check on the same section will pass as well</t>
  </si>
  <si>
    <t>Braces</t>
  </si>
  <si>
    <t>Compression</t>
  </si>
  <si>
    <t>Tension</t>
  </si>
  <si>
    <t>Tension / min. Compression</t>
  </si>
  <si>
    <t xml:space="preserve"> max. Compression</t>
  </si>
  <si>
    <t>l [cm]</t>
  </si>
  <si>
    <t xml:space="preserve"> --&gt; buckling length of the brace assumed to be 80% of the length between the brace end nodes. This follows e8 for gussets allowing out of plane rotation. Conservative for stiffer gussets</t>
  </si>
  <si>
    <t>Braces - L1</t>
  </si>
  <si>
    <t>β</t>
  </si>
  <si>
    <t>Braces - L2</t>
  </si>
  <si>
    <t>Materials</t>
  </si>
  <si>
    <t>D [mm]</t>
  </si>
  <si>
    <t>t [mm]</t>
  </si>
  <si>
    <t>Mpl,Rd [kNcm]</t>
  </si>
  <si>
    <t>b [cm]</t>
  </si>
  <si>
    <t>tw [cm]</t>
  </si>
  <si>
    <t>tf [cm]</t>
  </si>
  <si>
    <t>hw [cm]</t>
  </si>
  <si>
    <t>M_pl,Rd [kNcm]</t>
  </si>
  <si>
    <r>
      <t>λ</t>
    </r>
    <r>
      <rPr>
        <b/>
        <vertAlign val="subscript"/>
        <sz val="11"/>
        <color theme="1"/>
        <rFont val="Aptos Narrow"/>
        <family val="2"/>
      </rPr>
      <t>1</t>
    </r>
  </si>
  <si>
    <r>
      <t>ω</t>
    </r>
    <r>
      <rPr>
        <b/>
        <vertAlign val="subscript"/>
        <sz val="11"/>
        <color theme="1"/>
        <rFont val="Aptos Narrow"/>
        <family val="2"/>
      </rPr>
      <t>rm</t>
    </r>
  </si>
  <si>
    <r>
      <rPr>
        <b/>
        <sz val="11"/>
        <color theme="1"/>
        <rFont val="Aptos Narrow"/>
        <family val="2"/>
      </rPr>
      <t>γ</t>
    </r>
    <r>
      <rPr>
        <b/>
        <vertAlign val="subscript"/>
        <sz val="11"/>
        <color theme="1"/>
        <rFont val="Aptos Narrow"/>
        <family val="2"/>
      </rPr>
      <t>M0</t>
    </r>
  </si>
  <si>
    <r>
      <t>γ</t>
    </r>
    <r>
      <rPr>
        <b/>
        <vertAlign val="subscript"/>
        <sz val="11"/>
        <color theme="1"/>
        <rFont val="Aptos Narrow"/>
        <family val="2"/>
      </rPr>
      <t>M1</t>
    </r>
  </si>
  <si>
    <r>
      <t>f</t>
    </r>
    <r>
      <rPr>
        <b/>
        <vertAlign val="subscript"/>
        <sz val="11"/>
        <color theme="1"/>
        <rFont val="Aptos Narrow"/>
        <family val="2"/>
        <scheme val="minor"/>
      </rPr>
      <t>y</t>
    </r>
  </si>
  <si>
    <t>Partial Safety Factors and Combination Factors</t>
  </si>
  <si>
    <r>
      <t>ψ</t>
    </r>
    <r>
      <rPr>
        <b/>
        <vertAlign val="subscript"/>
        <sz val="11"/>
        <color theme="1"/>
        <rFont val="Aptos Narrow"/>
        <family val="2"/>
      </rPr>
      <t>0</t>
    </r>
  </si>
  <si>
    <r>
      <t>ψ</t>
    </r>
    <r>
      <rPr>
        <b/>
        <vertAlign val="subscript"/>
        <sz val="11"/>
        <color theme="1"/>
        <rFont val="Aptos Narrow"/>
        <family val="2"/>
      </rPr>
      <t>1</t>
    </r>
  </si>
  <si>
    <r>
      <t>ψ</t>
    </r>
    <r>
      <rPr>
        <b/>
        <vertAlign val="subscript"/>
        <sz val="11"/>
        <color theme="1"/>
        <rFont val="Aptos Narrow"/>
        <family val="2"/>
      </rPr>
      <t>2</t>
    </r>
  </si>
  <si>
    <r>
      <t>ψ</t>
    </r>
    <r>
      <rPr>
        <b/>
        <vertAlign val="subscript"/>
        <sz val="11"/>
        <color theme="1"/>
        <rFont val="Aptos Narrow"/>
        <family val="2"/>
      </rPr>
      <t>E</t>
    </r>
  </si>
  <si>
    <t>&lt;-- check this is the correct height</t>
  </si>
  <si>
    <t>Braces - L3</t>
  </si>
  <si>
    <r>
      <t>Iy [cm</t>
    </r>
    <r>
      <rPr>
        <b/>
        <vertAlign val="super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]</t>
    </r>
  </si>
  <si>
    <t>i_z [cm]</t>
  </si>
  <si>
    <t>EC8-1-2:2023 §11.5(4) Storey Drifts: Control of second order effects</t>
  </si>
  <si>
    <t>qs_eff</t>
  </si>
  <si>
    <r>
      <t>ω</t>
    </r>
    <r>
      <rPr>
        <b/>
        <vertAlign val="subscript"/>
        <sz val="11"/>
        <color theme="1"/>
        <rFont val="Aptos Narrow"/>
        <family val="2"/>
      </rPr>
      <t>sh</t>
    </r>
  </si>
  <si>
    <t>M_Ed,G [kNcm]</t>
  </si>
  <si>
    <t>N_Ed,G [kN]</t>
  </si>
  <si>
    <t>V_Ed,G [kN]</t>
  </si>
  <si>
    <t>V_ED,E [kN]</t>
  </si>
  <si>
    <t>V_Ed [kN]</t>
  </si>
  <si>
    <t>M_Ed,E [kNcm]</t>
  </si>
  <si>
    <t>M_Ed [kNcm]</t>
  </si>
  <si>
    <t>&lt;-- beam at first storey in bay 3. largest tension force in brace due to gravity +  seismic actions</t>
  </si>
  <si>
    <t>&lt;-- column on the first storey on grid 2. largest compression force due to gravity + seismic actions</t>
  </si>
  <si>
    <r>
      <t>d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[cm]</t>
    </r>
  </si>
  <si>
    <t>&lt;-- beam at first storey in bay 1. largest compression force in brace due to gravity +  seismic actions</t>
  </si>
  <si>
    <t>Mel,Rd [kNcm]</t>
  </si>
  <si>
    <t>Seciton Class</t>
  </si>
  <si>
    <t>Mc,Rd</t>
  </si>
  <si>
    <t>z</t>
  </si>
  <si>
    <t>w_e [kPa]</t>
  </si>
  <si>
    <t>z_b</t>
  </si>
  <si>
    <t>z_h</t>
  </si>
  <si>
    <t>h-dh</t>
  </si>
  <si>
    <t>h+dh</t>
  </si>
  <si>
    <t xml:space="preserve"> H_i [m]</t>
  </si>
  <si>
    <r>
      <t xml:space="preserve">F_w [kN] -  </t>
    </r>
    <r>
      <rPr>
        <b/>
        <sz val="11"/>
        <color theme="1"/>
        <rFont val="Aptos Narrow"/>
        <family val="2"/>
      </rPr>
      <t>Characteristic loads</t>
    </r>
  </si>
  <si>
    <t>Windward wind pressure calculations</t>
  </si>
  <si>
    <t>Leeward wind pressure calculations</t>
  </si>
  <si>
    <t>ΣF  kN/m width</t>
  </si>
  <si>
    <t>case 1: h&lt;b</t>
  </si>
  <si>
    <t>case 2: h&lt;2b</t>
  </si>
  <si>
    <t>case 2: h&gt;2b</t>
  </si>
  <si>
    <t>Frame Trib width</t>
  </si>
  <si>
    <t>LC3</t>
  </si>
  <si>
    <t>GQWSI</t>
  </si>
  <si>
    <t>GWQSI</t>
  </si>
  <si>
    <t>GSQWI</t>
  </si>
  <si>
    <t>S</t>
  </si>
  <si>
    <t>ν [Hz]</t>
  </si>
  <si>
    <t>n1,x  [Hz ]</t>
  </si>
  <si>
    <t>me  [kg/m]</t>
  </si>
  <si>
    <t>S [kPa]</t>
  </si>
  <si>
    <t>Snow Loads --&gt; EC1-3:2010</t>
  </si>
  <si>
    <t>sk</t>
  </si>
  <si>
    <t>Ground snow load</t>
  </si>
  <si>
    <t>kPa</t>
  </si>
  <si>
    <t>Roof slope</t>
  </si>
  <si>
    <t>°</t>
  </si>
  <si>
    <t>Ce</t>
  </si>
  <si>
    <t>Ct</t>
  </si>
  <si>
    <t>Shape factor</t>
  </si>
  <si>
    <r>
      <t>μ</t>
    </r>
    <r>
      <rPr>
        <vertAlign val="subscript"/>
        <sz val="11"/>
        <color theme="1"/>
        <rFont val="Aptos Narrow"/>
        <family val="2"/>
      </rPr>
      <t>1</t>
    </r>
  </si>
  <si>
    <t>Roof snow load</t>
  </si>
  <si>
    <t>LC1 - GQWSI</t>
  </si>
  <si>
    <t>W_i[kN]</t>
  </si>
  <si>
    <t>CHS 193.7x6</t>
  </si>
  <si>
    <t>q_design</t>
  </si>
  <si>
    <t>CHS 177.8x6.3</t>
  </si>
  <si>
    <t>&lt;-- tributary width for gravity loads</t>
  </si>
  <si>
    <t>&lt;-- tributary width for beam UDL for gravity loads</t>
  </si>
  <si>
    <t>i_y [cm]</t>
  </si>
  <si>
    <t>αz</t>
  </si>
  <si>
    <t>αy</t>
  </si>
  <si>
    <t>HEB 650</t>
  </si>
  <si>
    <t>IPE 360</t>
  </si>
  <si>
    <t>LC3 - GQWSI</t>
  </si>
  <si>
    <t>LC2 - GQWSI</t>
  </si>
  <si>
    <t>LC4 - GQEI</t>
  </si>
  <si>
    <t>General Building Geometry</t>
  </si>
  <si>
    <t>Class 2 Limit</t>
  </si>
  <si>
    <t>EC3 Beams and Columns</t>
  </si>
  <si>
    <t xml:space="preserve">Seismic actions in beams </t>
  </si>
  <si>
    <t xml:space="preserve">Seismic actions in columns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</si>
</sst>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2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vertAlign val="subscript"/>
      <sz val="10"/>
      <name val="Arial"/>
      <family val="2"/>
    </font>
    <font>
      <b/>
      <sz val="10"/>
      <name val="Arial"/>
      <family val="2"/>
    </font>
    <font>
      <b/>
      <vertAlign val="subscript"/>
      <sz val="11"/>
      <color theme="1"/>
      <name val="Aptos Narrow"/>
      <family val="2"/>
    </font>
    <font>
      <i/>
      <u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bscript"/>
      <sz val="11"/>
      <color theme="1"/>
      <name val="Calibri"/>
      <family val="2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</font>
    <font>
      <sz val="8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0070C0"/>
      <name val="Aptos Narrow"/>
      <family val="2"/>
      <scheme val="minor"/>
    </font>
    <font>
      <sz val="11"/>
      <color rgb="FF0070C0"/>
      <name val="Aptos Display"/>
      <family val="2"/>
      <scheme val="major"/>
    </font>
    <font>
      <i/>
      <u/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2" fontId="5" fillId="0" borderId="0" xfId="0" applyNumberFormat="1" applyFont="1"/>
    <xf numFmtId="2" fontId="5" fillId="0" borderId="1" xfId="0" applyNumberFormat="1" applyFont="1" applyBorder="1"/>
    <xf numFmtId="164" fontId="5" fillId="0" borderId="0" xfId="0" applyNumberFormat="1" applyFont="1"/>
    <xf numFmtId="165" fontId="5" fillId="0" borderId="0" xfId="0" applyNumberFormat="1" applyFont="1"/>
    <xf numFmtId="0" fontId="12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5" fillId="0" borderId="0" xfId="0" applyNumberFormat="1" applyFont="1"/>
    <xf numFmtId="0" fontId="13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5" fontId="0" fillId="0" borderId="0" xfId="0" applyNumberFormat="1"/>
    <xf numFmtId="0" fontId="0" fillId="0" borderId="2" xfId="0" applyBorder="1"/>
    <xf numFmtId="0" fontId="0" fillId="0" borderId="3" xfId="0" applyBorder="1"/>
    <xf numFmtId="0" fontId="3" fillId="0" borderId="2" xfId="0" applyFont="1" applyBorder="1"/>
    <xf numFmtId="0" fontId="2" fillId="0" borderId="2" xfId="0" applyFont="1" applyBorder="1"/>
    <xf numFmtId="0" fontId="0" fillId="0" borderId="4" xfId="0" applyBorder="1"/>
    <xf numFmtId="165" fontId="5" fillId="0" borderId="5" xfId="0" applyNumberFormat="1" applyFont="1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0" borderId="3" xfId="0" applyFont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1" fillId="0" borderId="5" xfId="0" applyFont="1" applyBorder="1"/>
    <xf numFmtId="0" fontId="5" fillId="0" borderId="5" xfId="0" applyFont="1" applyBorder="1"/>
    <xf numFmtId="0" fontId="5" fillId="0" borderId="6" xfId="0" applyFont="1" applyBorder="1"/>
    <xf numFmtId="0" fontId="2" fillId="2" borderId="8" xfId="0" applyFont="1" applyFill="1" applyBorder="1"/>
    <xf numFmtId="0" fontId="2" fillId="2" borderId="9" xfId="0" applyFont="1" applyFill="1" applyBorder="1"/>
    <xf numFmtId="165" fontId="5" fillId="0" borderId="3" xfId="0" applyNumberFormat="1" applyFont="1" applyBorder="1"/>
    <xf numFmtId="0" fontId="2" fillId="0" borderId="3" xfId="0" applyFont="1" applyBorder="1"/>
    <xf numFmtId="0" fontId="0" fillId="0" borderId="2" xfId="0" applyBorder="1" applyAlignment="1">
      <alignment vertical="center"/>
    </xf>
    <xf numFmtId="164" fontId="5" fillId="0" borderId="5" xfId="0" applyNumberFormat="1" applyFont="1" applyBorder="1"/>
    <xf numFmtId="0" fontId="5" fillId="0" borderId="10" xfId="0" applyFont="1" applyBorder="1"/>
    <xf numFmtId="164" fontId="5" fillId="0" borderId="10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/>
    <xf numFmtId="0" fontId="5" fillId="0" borderId="14" xfId="0" applyFont="1" applyBorder="1"/>
    <xf numFmtId="0" fontId="2" fillId="0" borderId="15" xfId="0" applyFont="1" applyBorder="1" applyAlignment="1">
      <alignment horizontal="center"/>
    </xf>
    <xf numFmtId="0" fontId="1" fillId="0" borderId="2" xfId="0" applyFont="1" applyBorder="1"/>
    <xf numFmtId="0" fontId="4" fillId="0" borderId="4" xfId="0" applyFont="1" applyBorder="1"/>
    <xf numFmtId="0" fontId="5" fillId="0" borderId="5" xfId="0" applyFont="1" applyBorder="1" applyAlignment="1">
      <alignment horizontal="right"/>
    </xf>
    <xf numFmtId="1" fontId="5" fillId="0" borderId="5" xfId="0" applyNumberFormat="1" applyFont="1" applyBorder="1"/>
    <xf numFmtId="0" fontId="2" fillId="0" borderId="6" xfId="0" applyFont="1" applyBorder="1"/>
    <xf numFmtId="0" fontId="2" fillId="0" borderId="16" xfId="0" applyFont="1" applyBorder="1" applyAlignment="1">
      <alignment horizontal="center"/>
    </xf>
    <xf numFmtId="0" fontId="1" fillId="0" borderId="17" xfId="0" applyFont="1" applyBorder="1"/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5" fillId="0" borderId="3" xfId="0" applyNumberFormat="1" applyFont="1" applyBorder="1"/>
    <xf numFmtId="164" fontId="3" fillId="0" borderId="5" xfId="0" applyNumberFormat="1" applyFont="1" applyBorder="1" applyAlignment="1">
      <alignment horizontal="right"/>
    </xf>
    <xf numFmtId="0" fontId="2" fillId="0" borderId="5" xfId="0" applyFont="1" applyBorder="1"/>
    <xf numFmtId="0" fontId="2" fillId="2" borderId="18" xfId="0" applyFont="1" applyFill="1" applyBorder="1"/>
    <xf numFmtId="0" fontId="2" fillId="2" borderId="11" xfId="0" applyFont="1" applyFill="1" applyBorder="1"/>
    <xf numFmtId="0" fontId="2" fillId="2" borderId="19" xfId="0" applyFont="1" applyFill="1" applyBorder="1"/>
    <xf numFmtId="0" fontId="2" fillId="0" borderId="13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5" xfId="0" applyFont="1" applyBorder="1"/>
    <xf numFmtId="165" fontId="15" fillId="2" borderId="8" xfId="0" applyNumberFormat="1" applyFont="1" applyFill="1" applyBorder="1"/>
    <xf numFmtId="165" fontId="15" fillId="2" borderId="9" xfId="0" applyNumberFormat="1" applyFont="1" applyFill="1" applyBorder="1"/>
    <xf numFmtId="164" fontId="0" fillId="0" borderId="0" xfId="0" applyNumberFormat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2" fillId="0" borderId="21" xfId="0" applyFont="1" applyBorder="1" applyAlignment="1">
      <alignment horizontal="center"/>
    </xf>
    <xf numFmtId="1" fontId="5" fillId="0" borderId="2" xfId="0" applyNumberFormat="1" applyFont="1" applyBorder="1"/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4" fontId="19" fillId="0" borderId="5" xfId="0" applyNumberFormat="1" applyFont="1" applyBorder="1" applyAlignment="1">
      <alignment horizontal="right"/>
    </xf>
    <xf numFmtId="2" fontId="5" fillId="0" borderId="5" xfId="0" applyNumberFormat="1" applyFont="1" applyBorder="1"/>
    <xf numFmtId="0" fontId="0" fillId="2" borderId="11" xfId="0" applyFill="1" applyBorder="1"/>
    <xf numFmtId="0" fontId="0" fillId="2" borderId="19" xfId="0" applyFill="1" applyBorder="1"/>
    <xf numFmtId="0" fontId="12" fillId="2" borderId="18" xfId="0" applyFont="1" applyFill="1" applyBorder="1"/>
    <xf numFmtId="0" fontId="2" fillId="0" borderId="16" xfId="0" applyFont="1" applyBorder="1"/>
    <xf numFmtId="0" fontId="2" fillId="0" borderId="20" xfId="0" applyFont="1" applyBorder="1"/>
    <xf numFmtId="0" fontId="2" fillId="0" borderId="22" xfId="0" applyFont="1" applyBorder="1"/>
    <xf numFmtId="0" fontId="1" fillId="0" borderId="5" xfId="0" applyFont="1" applyBorder="1" applyAlignment="1">
      <alignment horizontal="center"/>
    </xf>
    <xf numFmtId="0" fontId="4" fillId="0" borderId="20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2" borderId="7" xfId="0" applyFont="1" applyFill="1" applyBorder="1"/>
    <xf numFmtId="0" fontId="4" fillId="0" borderId="2" xfId="0" applyFont="1" applyBorder="1"/>
    <xf numFmtId="0" fontId="18" fillId="0" borderId="2" xfId="0" applyFont="1" applyBorder="1"/>
    <xf numFmtId="2" fontId="5" fillId="0" borderId="15" xfId="0" applyNumberFormat="1" applyFont="1" applyBorder="1"/>
    <xf numFmtId="0" fontId="15" fillId="0" borderId="0" xfId="0" applyFont="1"/>
    <xf numFmtId="2" fontId="5" fillId="0" borderId="23" xfId="0" applyNumberFormat="1" applyFont="1" applyBorder="1"/>
    <xf numFmtId="15" fontId="0" fillId="0" borderId="3" xfId="0" applyNumberFormat="1" applyBorder="1"/>
    <xf numFmtId="0" fontId="1" fillId="2" borderId="8" xfId="0" applyFont="1" applyFill="1" applyBorder="1"/>
    <xf numFmtId="0" fontId="15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3" borderId="0" xfId="0" applyFont="1" applyFill="1"/>
    <xf numFmtId="15" fontId="15" fillId="0" borderId="0" xfId="0" applyNumberFormat="1" applyFont="1"/>
    <xf numFmtId="15" fontId="2" fillId="0" borderId="0" xfId="0" applyNumberFormat="1" applyFont="1"/>
    <xf numFmtId="15" fontId="15" fillId="0" borderId="3" xfId="0" applyNumberFormat="1" applyFont="1" applyBorder="1"/>
    <xf numFmtId="0" fontId="2" fillId="0" borderId="4" xfId="0" applyFont="1" applyBorder="1"/>
    <xf numFmtId="0" fontId="0" fillId="2" borderId="7" xfId="0" applyFill="1" applyBorder="1"/>
    <xf numFmtId="0" fontId="1" fillId="3" borderId="0" xfId="0" applyFont="1" applyFill="1" applyAlignment="1">
      <alignment horizontal="right"/>
    </xf>
    <xf numFmtId="165" fontId="1" fillId="3" borderId="0" xfId="0" applyNumberFormat="1" applyFont="1" applyFill="1"/>
    <xf numFmtId="164" fontId="1" fillId="3" borderId="0" xfId="0" applyNumberFormat="1" applyFont="1" applyFill="1"/>
    <xf numFmtId="0" fontId="0" fillId="2" borderId="20" xfId="0" applyFill="1" applyBorder="1"/>
    <xf numFmtId="0" fontId="8" fillId="0" borderId="0" xfId="0" applyFont="1"/>
    <xf numFmtId="0" fontId="2" fillId="2" borderId="20" xfId="0" applyFont="1" applyFill="1" applyBorder="1"/>
    <xf numFmtId="0" fontId="2" fillId="2" borderId="22" xfId="0" applyFont="1" applyFill="1" applyBorder="1"/>
    <xf numFmtId="0" fontId="0" fillId="2" borderId="22" xfId="0" applyFill="1" applyBorder="1"/>
    <xf numFmtId="0" fontId="0" fillId="0" borderId="1" xfId="0" applyBorder="1"/>
    <xf numFmtId="0" fontId="0" fillId="0" borderId="15" xfId="0" applyBorder="1"/>
    <xf numFmtId="0" fontId="3" fillId="0" borderId="1" xfId="0" applyFont="1" applyBorder="1"/>
    <xf numFmtId="0" fontId="0" fillId="0" borderId="13" xfId="0" applyBorder="1"/>
    <xf numFmtId="0" fontId="1" fillId="0" borderId="1" xfId="0" applyFont="1" applyBorder="1"/>
    <xf numFmtId="0" fontId="3" fillId="0" borderId="13" xfId="0" applyFont="1" applyBorder="1"/>
    <xf numFmtId="0" fontId="3" fillId="0" borderId="24" xfId="0" applyFont="1" applyBorder="1"/>
    <xf numFmtId="0" fontId="2" fillId="2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9" xfId="0" applyBorder="1"/>
    <xf numFmtId="0" fontId="18" fillId="0" borderId="0" xfId="0" applyFont="1"/>
    <xf numFmtId="166" fontId="5" fillId="0" borderId="0" xfId="0" applyNumberFormat="1" applyFont="1"/>
    <xf numFmtId="15" fontId="2" fillId="0" borderId="0" xfId="0" applyNumberFormat="1" applyFont="1" applyAlignment="1">
      <alignment horizontal="center"/>
    </xf>
    <xf numFmtId="15" fontId="22" fillId="0" borderId="0" xfId="0" applyNumberFormat="1" applyFont="1"/>
    <xf numFmtId="0" fontId="23" fillId="0" borderId="23" xfId="0" applyFont="1" applyBorder="1"/>
    <xf numFmtId="0" fontId="23" fillId="0" borderId="25" xfId="0" applyFont="1" applyBorder="1"/>
    <xf numFmtId="0" fontId="0" fillId="2" borderId="16" xfId="0" applyFill="1" applyBorder="1"/>
    <xf numFmtId="0" fontId="2" fillId="2" borderId="16" xfId="0" applyFont="1" applyFill="1" applyBorder="1"/>
    <xf numFmtId="2" fontId="5" fillId="2" borderId="20" xfId="0" applyNumberFormat="1" applyFont="1" applyFill="1" applyBorder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" fontId="1" fillId="0" borderId="5" xfId="0" applyNumberFormat="1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5" fontId="24" fillId="0" borderId="0" xfId="0" applyNumberFormat="1" applyFont="1"/>
    <xf numFmtId="0" fontId="2" fillId="2" borderId="1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2" borderId="0" xfId="0" applyFill="1"/>
    <xf numFmtId="0" fontId="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1" xfId="0" applyBorder="1"/>
    <xf numFmtId="0" fontId="5" fillId="0" borderId="4" xfId="0" applyFont="1" applyBorder="1"/>
    <xf numFmtId="0" fontId="5" fillId="0" borderId="11" xfId="0" applyFont="1" applyBorder="1"/>
    <xf numFmtId="0" fontId="25" fillId="0" borderId="18" xfId="0" applyFont="1" applyBorder="1"/>
    <xf numFmtId="0" fontId="26" fillId="0" borderId="0" xfId="0" applyFont="1"/>
    <xf numFmtId="0" fontId="4" fillId="0" borderId="20" xfId="0" applyFont="1" applyBorder="1" applyAlignment="1">
      <alignment horizontal="center"/>
    </xf>
    <xf numFmtId="0" fontId="1" fillId="3" borderId="5" xfId="0" applyFont="1" applyFill="1" applyBorder="1"/>
    <xf numFmtId="0" fontId="1" fillId="3" borderId="3" xfId="0" applyFont="1" applyFill="1" applyBorder="1"/>
    <xf numFmtId="2" fontId="1" fillId="3" borderId="0" xfId="0" applyNumberFormat="1" applyFont="1" applyFill="1"/>
    <xf numFmtId="0" fontId="1" fillId="3" borderId="17" xfId="0" applyFont="1" applyFill="1" applyBorder="1"/>
    <xf numFmtId="0" fontId="0" fillId="0" borderId="18" xfId="0" applyBorder="1"/>
    <xf numFmtId="0" fontId="3" fillId="0" borderId="4" xfId="0" applyFont="1" applyBorder="1"/>
    <xf numFmtId="15" fontId="25" fillId="0" borderId="18" xfId="0" applyNumberFormat="1" applyFont="1" applyBorder="1"/>
    <xf numFmtId="15" fontId="0" fillId="0" borderId="11" xfId="0" applyNumberFormat="1" applyBorder="1"/>
    <xf numFmtId="15" fontId="0" fillId="0" borderId="19" xfId="0" applyNumberFormat="1" applyBorder="1"/>
    <xf numFmtId="1" fontId="1" fillId="3" borderId="0" xfId="0" applyNumberFormat="1" applyFont="1" applyFill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5" fillId="2" borderId="0" xfId="0" applyFont="1" applyFill="1"/>
    <xf numFmtId="0" fontId="2" fillId="2" borderId="0" xfId="0" applyFont="1" applyFill="1"/>
    <xf numFmtId="0" fontId="14" fillId="0" borderId="0" xfId="0" applyFont="1"/>
    <xf numFmtId="0" fontId="15" fillId="0" borderId="0" xfId="0" applyFont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165" fontId="1" fillId="4" borderId="0" xfId="0" applyNumberFormat="1" applyFont="1" applyFill="1"/>
    <xf numFmtId="0" fontId="1" fillId="4" borderId="0" xfId="0" applyFont="1" applyFill="1"/>
    <xf numFmtId="0" fontId="23" fillId="4" borderId="23" xfId="0" applyFont="1" applyFill="1" applyBorder="1"/>
    <xf numFmtId="0" fontId="23" fillId="4" borderId="25" xfId="0" applyFont="1" applyFill="1" applyBorder="1"/>
    <xf numFmtId="1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2" fontId="1" fillId="4" borderId="0" xfId="0" applyNumberFormat="1" applyFont="1" applyFill="1"/>
    <xf numFmtId="0" fontId="1" fillId="4" borderId="2" xfId="0" applyFont="1" applyFill="1" applyBorder="1"/>
  </cellXfs>
  <cellStyles count="1">
    <cellStyle name="Standard" xfId="0" builtinId="0"/>
  </cellStyles>
  <dxfs count="5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95C7-1646-46FF-AA85-638A18BD9EE0}">
  <dimension ref="B1:W148"/>
  <sheetViews>
    <sheetView zoomScale="85" zoomScaleNormal="85" workbookViewId="0">
      <selection activeCell="W148" activeCellId="8" sqref="C63 C56:C58 G53:G55 Q73:Q75 Q86:Q88 Q99:Q101 O148 S148 W148"/>
    </sheetView>
  </sheetViews>
  <sheetFormatPr baseColWidth="10" defaultRowHeight="15" x14ac:dyDescent="0.25"/>
  <cols>
    <col min="2" max="2" width="16.140625" customWidth="1"/>
    <col min="9" max="9" width="16.42578125" bestFit="1" customWidth="1"/>
    <col min="10" max="11" width="12.42578125" bestFit="1" customWidth="1"/>
    <col min="14" max="14" width="13.28515625" customWidth="1"/>
    <col min="19" max="19" width="16.7109375" customWidth="1"/>
  </cols>
  <sheetData>
    <row r="1" spans="2:8" ht="15.75" thickBot="1" x14ac:dyDescent="0.3"/>
    <row r="2" spans="2:8" x14ac:dyDescent="0.25">
      <c r="B2" s="29" t="s">
        <v>314</v>
      </c>
      <c r="C2" s="98"/>
      <c r="D2" s="30"/>
      <c r="E2" s="30"/>
      <c r="F2" s="30"/>
      <c r="G2" s="30"/>
      <c r="H2" s="31"/>
    </row>
    <row r="3" spans="2:8" x14ac:dyDescent="0.25">
      <c r="B3" s="21" t="s">
        <v>0</v>
      </c>
      <c r="C3" s="104">
        <v>21</v>
      </c>
      <c r="D3" t="s">
        <v>5</v>
      </c>
      <c r="H3" s="22"/>
    </row>
    <row r="4" spans="2:8" x14ac:dyDescent="0.25">
      <c r="B4" s="21" t="s">
        <v>169</v>
      </c>
      <c r="C4" s="104">
        <v>24</v>
      </c>
      <c r="D4" t="s">
        <v>5</v>
      </c>
      <c r="H4" s="22"/>
    </row>
    <row r="5" spans="2:8" x14ac:dyDescent="0.25">
      <c r="B5" s="21" t="s">
        <v>85</v>
      </c>
      <c r="C5" s="104">
        <v>1.5</v>
      </c>
      <c r="D5" t="s">
        <v>5</v>
      </c>
      <c r="E5" t="s">
        <v>305</v>
      </c>
      <c r="H5" s="22"/>
    </row>
    <row r="6" spans="2:8" x14ac:dyDescent="0.25">
      <c r="B6" s="21" t="s">
        <v>278</v>
      </c>
      <c r="C6" s="104">
        <v>3</v>
      </c>
      <c r="D6" t="s">
        <v>5</v>
      </c>
      <c r="E6" t="s">
        <v>304</v>
      </c>
      <c r="H6" s="22"/>
    </row>
    <row r="7" spans="2:8" x14ac:dyDescent="0.25">
      <c r="B7" s="21" t="s">
        <v>170</v>
      </c>
      <c r="C7" s="104">
        <v>6</v>
      </c>
      <c r="D7" t="s">
        <v>5</v>
      </c>
      <c r="E7" t="s">
        <v>171</v>
      </c>
      <c r="H7" s="22"/>
    </row>
    <row r="8" spans="2:8" x14ac:dyDescent="0.25">
      <c r="B8" s="21" t="s">
        <v>30</v>
      </c>
      <c r="C8" s="5">
        <f>COUNT(C24:C32)</f>
        <v>3</v>
      </c>
      <c r="H8" s="22"/>
    </row>
    <row r="9" spans="2:8" x14ac:dyDescent="0.25">
      <c r="B9" s="24"/>
      <c r="H9" s="22"/>
    </row>
    <row r="10" spans="2:8" ht="15.75" thickBot="1" x14ac:dyDescent="0.3">
      <c r="B10" s="108" t="s">
        <v>6</v>
      </c>
      <c r="C10" s="162">
        <f>9.81</f>
        <v>9.81</v>
      </c>
      <c r="D10" s="27" t="s">
        <v>7</v>
      </c>
      <c r="E10" s="27"/>
      <c r="F10" s="27"/>
      <c r="G10" s="27"/>
      <c r="H10" s="28"/>
    </row>
    <row r="11" spans="2:8" ht="15.75" thickBot="1" x14ac:dyDescent="0.3">
      <c r="C11" s="4"/>
    </row>
    <row r="12" spans="2:8" x14ac:dyDescent="0.25">
      <c r="B12" s="29" t="s">
        <v>238</v>
      </c>
      <c r="C12" s="98"/>
      <c r="D12" s="30"/>
      <c r="E12" s="30"/>
      <c r="F12" s="30"/>
      <c r="G12" s="31"/>
    </row>
    <row r="13" spans="2:8" x14ac:dyDescent="0.25">
      <c r="B13" s="21"/>
      <c r="C13" s="99" t="s">
        <v>127</v>
      </c>
      <c r="D13" s="100" t="s">
        <v>128</v>
      </c>
      <c r="E13" s="100" t="s">
        <v>129</v>
      </c>
      <c r="F13" s="100" t="s">
        <v>283</v>
      </c>
      <c r="G13" s="101" t="s">
        <v>130</v>
      </c>
    </row>
    <row r="14" spans="2:8" x14ac:dyDescent="0.25">
      <c r="B14" s="102" t="s">
        <v>126</v>
      </c>
      <c r="C14" s="104">
        <v>1.35</v>
      </c>
      <c r="D14" s="112">
        <v>1.5</v>
      </c>
      <c r="E14" s="104">
        <v>1.5</v>
      </c>
      <c r="F14" s="104">
        <v>1.5</v>
      </c>
      <c r="G14" s="22"/>
    </row>
    <row r="15" spans="2:8" ht="18" x14ac:dyDescent="0.35">
      <c r="B15" s="102" t="s">
        <v>239</v>
      </c>
      <c r="C15" s="4"/>
      <c r="D15" s="112">
        <v>0.7</v>
      </c>
      <c r="E15" s="112">
        <v>0.6</v>
      </c>
      <c r="F15" s="104">
        <v>0.5</v>
      </c>
      <c r="G15" s="22"/>
    </row>
    <row r="16" spans="2:8" s="20" customFormat="1" ht="18" x14ac:dyDescent="0.35">
      <c r="B16" s="102" t="s">
        <v>240</v>
      </c>
      <c r="C16" s="4"/>
      <c r="D16" s="112">
        <v>0.5</v>
      </c>
      <c r="E16" s="112">
        <v>0.2</v>
      </c>
      <c r="F16" s="112">
        <v>0.2</v>
      </c>
      <c r="G16" s="97"/>
    </row>
    <row r="17" spans="2:22" ht="18" x14ac:dyDescent="0.35">
      <c r="B17" s="102" t="s">
        <v>241</v>
      </c>
      <c r="C17" s="4"/>
      <c r="D17" s="112">
        <v>0.3</v>
      </c>
      <c r="E17" s="112">
        <v>0</v>
      </c>
      <c r="F17" s="112">
        <v>0</v>
      </c>
      <c r="G17" s="22"/>
    </row>
    <row r="18" spans="2:22" x14ac:dyDescent="0.25">
      <c r="B18" s="102" t="s">
        <v>131</v>
      </c>
      <c r="C18" s="4"/>
      <c r="D18" s="104">
        <v>1</v>
      </c>
      <c r="E18" s="4"/>
      <c r="G18" s="47"/>
    </row>
    <row r="19" spans="2:22" ht="18.75" thickBot="1" x14ac:dyDescent="0.4">
      <c r="B19" s="103" t="s">
        <v>242</v>
      </c>
      <c r="C19" s="35"/>
      <c r="D19" s="36">
        <f>D18*D17</f>
        <v>0.3</v>
      </c>
      <c r="E19" s="27"/>
      <c r="F19" s="27"/>
      <c r="G19" s="28"/>
    </row>
    <row r="20" spans="2:22" ht="15.75" thickBot="1" x14ac:dyDescent="0.3"/>
    <row r="21" spans="2:22" x14ac:dyDescent="0.25">
      <c r="B21" s="29" t="s">
        <v>140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1"/>
      <c r="S21" s="29" t="s">
        <v>288</v>
      </c>
      <c r="T21" s="30"/>
      <c r="U21" s="30"/>
      <c r="V21" s="31"/>
    </row>
    <row r="22" spans="2:22" x14ac:dyDescent="0.25">
      <c r="B22" s="21"/>
      <c r="I22" s="2" t="s">
        <v>133</v>
      </c>
      <c r="J22" s="2"/>
      <c r="L22" s="2"/>
      <c r="M22" s="2"/>
      <c r="N22" s="2" t="s">
        <v>134</v>
      </c>
      <c r="O22" s="2"/>
      <c r="Q22" s="41"/>
      <c r="S22" s="21"/>
      <c r="V22" s="22"/>
    </row>
    <row r="23" spans="2:22" x14ac:dyDescent="0.25">
      <c r="B23" s="24" t="s">
        <v>3</v>
      </c>
      <c r="C23" s="2" t="s">
        <v>1</v>
      </c>
      <c r="D23" s="2" t="s">
        <v>2</v>
      </c>
      <c r="E23" s="2" t="s">
        <v>287</v>
      </c>
      <c r="F23" s="2" t="s">
        <v>33</v>
      </c>
      <c r="G23" s="2" t="s">
        <v>34</v>
      </c>
      <c r="I23" s="2" t="s">
        <v>299</v>
      </c>
      <c r="J23" s="2" t="s">
        <v>312</v>
      </c>
      <c r="K23" s="2" t="s">
        <v>311</v>
      </c>
      <c r="L23" s="3" t="s">
        <v>313</v>
      </c>
      <c r="N23" s="2" t="s">
        <v>280</v>
      </c>
      <c r="O23" s="2" t="s">
        <v>281</v>
      </c>
      <c r="P23" s="2" t="s">
        <v>282</v>
      </c>
      <c r="Q23" s="33" t="s">
        <v>132</v>
      </c>
      <c r="S23" s="21" t="s">
        <v>290</v>
      </c>
      <c r="T23" t="s">
        <v>289</v>
      </c>
      <c r="U23" s="104">
        <v>0.85</v>
      </c>
      <c r="V23" s="22" t="s">
        <v>291</v>
      </c>
    </row>
    <row r="24" spans="2:22" x14ac:dyDescent="0.25">
      <c r="B24" s="21">
        <v>1</v>
      </c>
      <c r="C24" s="104">
        <v>7.5</v>
      </c>
      <c r="D24" s="104">
        <v>3</v>
      </c>
      <c r="E24" s="5">
        <f t="shared" ref="E24:E32" si="0">IF(C24&lt;&gt;"", IF(G24=MAX($G$24:$G$32), $U$29, 0), "")</f>
        <v>0</v>
      </c>
      <c r="F24" s="104">
        <v>3.5</v>
      </c>
      <c r="G24" s="5">
        <f>IF(C24&lt;&gt;"", SUM($F$24:F24), "")</f>
        <v>3.5</v>
      </c>
      <c r="I24" s="5">
        <f>IF(C24&lt;&gt;"", $C$14*C24+$D$14*D24+$F$14*$F$15*E24, "")</f>
        <v>14.625</v>
      </c>
      <c r="J24" s="5">
        <f>IF(C24&lt;&gt;"", $C$14*C24 + $D$14*$D$15*D24 + $F$14*$F$15*E24, "")</f>
        <v>13.274999999999999</v>
      </c>
      <c r="K24" s="5">
        <f>IF(C24&lt;&gt;"", $C$14*C24 + $D$14*$D$15*D24 + $F$14*E24, "")</f>
        <v>13.274999999999999</v>
      </c>
      <c r="L24" s="5">
        <f t="shared" ref="L24:L32" si="1">IF(C24&lt;&gt;"", C24+$D$19*D24, "")</f>
        <v>8.4</v>
      </c>
      <c r="N24" s="5">
        <f t="shared" ref="N24:N32" si="2">IF(C24&lt;&gt;"", I24*$C$5, "")</f>
        <v>21.9375</v>
      </c>
      <c r="O24" s="5">
        <f>IF(C24&lt;&gt;"", J24*$C$5, "")</f>
        <v>19.912499999999998</v>
      </c>
      <c r="P24" s="5">
        <f>IF(C24&lt;&gt;"", K24*$C$5, "")</f>
        <v>19.912499999999998</v>
      </c>
      <c r="Q24" s="34">
        <f t="shared" ref="Q24:Q32" si="3">IF(C24&lt;&gt;"", L24*$C$5, "")</f>
        <v>12.600000000000001</v>
      </c>
      <c r="S24" s="21" t="s">
        <v>292</v>
      </c>
      <c r="T24" s="1" t="s">
        <v>73</v>
      </c>
      <c r="U24" s="104">
        <v>4</v>
      </c>
      <c r="V24" s="22" t="s">
        <v>293</v>
      </c>
    </row>
    <row r="25" spans="2:22" x14ac:dyDescent="0.25">
      <c r="B25" s="21">
        <v>2</v>
      </c>
      <c r="C25" s="104">
        <v>7.5</v>
      </c>
      <c r="D25" s="104">
        <v>3</v>
      </c>
      <c r="E25" s="5">
        <f t="shared" si="0"/>
        <v>0</v>
      </c>
      <c r="F25" s="104">
        <v>3.5</v>
      </c>
      <c r="G25" s="5">
        <f>IF(C25&lt;&gt;"", SUM($F$24:F25), "")</f>
        <v>7</v>
      </c>
      <c r="I25" s="5">
        <f t="shared" ref="I25:I32" si="4">IF(C25&lt;&gt;"", $C$14*C25+$D$14*D25+$F$14*$F$15*E25, "")</f>
        <v>14.625</v>
      </c>
      <c r="J25" s="5">
        <f t="shared" ref="J25:J32" si="5">IF(C25&lt;&gt;"", $C$14*C25 + $D$14*$D$15*D25 + $F$14*$F$15*E25, "")</f>
        <v>13.274999999999999</v>
      </c>
      <c r="K25" s="5">
        <f t="shared" ref="K25:K32" si="6">IF(C25&lt;&gt;"", $C$14*C25 + $D$14*$D$15*D25 + $F$14*E25, "")</f>
        <v>13.274999999999999</v>
      </c>
      <c r="L25" s="5">
        <f t="shared" si="1"/>
        <v>8.4</v>
      </c>
      <c r="N25" s="5">
        <f t="shared" si="2"/>
        <v>21.9375</v>
      </c>
      <c r="O25" s="5">
        <f t="shared" ref="O25:O32" si="7">IF(C25&lt;&gt;"", J25*$C$5, "")</f>
        <v>19.912499999999998</v>
      </c>
      <c r="P25" s="5">
        <f t="shared" ref="P25:P32" si="8">IF(C25&lt;&gt;"", K25*$C$5, "")</f>
        <v>19.912499999999998</v>
      </c>
      <c r="Q25" s="34">
        <f t="shared" si="3"/>
        <v>12.600000000000001</v>
      </c>
      <c r="S25" s="21"/>
      <c r="T25" t="s">
        <v>294</v>
      </c>
      <c r="U25" s="164">
        <v>1</v>
      </c>
      <c r="V25" s="22"/>
    </row>
    <row r="26" spans="2:22" x14ac:dyDescent="0.25">
      <c r="B26" s="21">
        <v>3</v>
      </c>
      <c r="C26" s="104">
        <v>7.5</v>
      </c>
      <c r="D26" s="104">
        <v>3</v>
      </c>
      <c r="E26" s="5">
        <f t="shared" si="0"/>
        <v>0.68</v>
      </c>
      <c r="F26" s="104">
        <v>3.5</v>
      </c>
      <c r="G26" s="5">
        <f>IF(C26&lt;&gt;"", SUM($F$24:F26), "")</f>
        <v>10.5</v>
      </c>
      <c r="I26" s="5">
        <f t="shared" si="4"/>
        <v>15.135</v>
      </c>
      <c r="J26" s="5">
        <f t="shared" si="5"/>
        <v>13.784999999999998</v>
      </c>
      <c r="K26" s="5">
        <f>IF(C26&lt;&gt;"", $C$14*C26 + $D$14*$D$15*D26 + $F$14*E26, "")</f>
        <v>14.294999999999998</v>
      </c>
      <c r="L26" s="5">
        <f t="shared" si="1"/>
        <v>8.4</v>
      </c>
      <c r="N26" s="5">
        <f t="shared" si="2"/>
        <v>22.702500000000001</v>
      </c>
      <c r="O26" s="5">
        <f t="shared" si="7"/>
        <v>20.677499999999998</v>
      </c>
      <c r="P26" s="5">
        <f t="shared" si="8"/>
        <v>21.442499999999995</v>
      </c>
      <c r="Q26" s="34">
        <f t="shared" si="3"/>
        <v>12.600000000000001</v>
      </c>
      <c r="S26" s="21"/>
      <c r="T26" t="s">
        <v>295</v>
      </c>
      <c r="U26" s="164">
        <v>1</v>
      </c>
      <c r="V26" s="22"/>
    </row>
    <row r="27" spans="2:22" x14ac:dyDescent="0.25">
      <c r="B27" s="21">
        <v>4</v>
      </c>
      <c r="C27" s="104"/>
      <c r="D27" s="104"/>
      <c r="E27" s="5" t="str">
        <f t="shared" si="0"/>
        <v/>
      </c>
      <c r="F27" s="104"/>
      <c r="G27" s="5" t="str">
        <f>IF(C27&lt;&gt;"", SUM($F$24:F27), "")</f>
        <v/>
      </c>
      <c r="I27" s="5" t="str">
        <f t="shared" si="4"/>
        <v/>
      </c>
      <c r="J27" s="5" t="str">
        <f t="shared" si="5"/>
        <v/>
      </c>
      <c r="K27" s="5" t="str">
        <f t="shared" si="6"/>
        <v/>
      </c>
      <c r="L27" s="5" t="str">
        <f t="shared" si="1"/>
        <v/>
      </c>
      <c r="N27" s="5" t="str">
        <f t="shared" si="2"/>
        <v/>
      </c>
      <c r="O27" s="5" t="str">
        <f t="shared" si="7"/>
        <v/>
      </c>
      <c r="P27" s="5" t="str">
        <f t="shared" si="8"/>
        <v/>
      </c>
      <c r="Q27" s="34" t="str">
        <f t="shared" si="3"/>
        <v/>
      </c>
      <c r="S27" s="21"/>
      <c r="V27" s="22"/>
    </row>
    <row r="28" spans="2:22" ht="18" x14ac:dyDescent="0.35">
      <c r="B28" s="21">
        <v>5</v>
      </c>
      <c r="C28" s="104"/>
      <c r="D28" s="104"/>
      <c r="E28" s="5" t="str">
        <f t="shared" si="0"/>
        <v/>
      </c>
      <c r="F28" s="104"/>
      <c r="G28" s="5" t="str">
        <f>IF(C28&lt;&gt;"", SUM($F$24:F28), "")</f>
        <v/>
      </c>
      <c r="I28" s="5" t="str">
        <f t="shared" si="4"/>
        <v/>
      </c>
      <c r="J28" s="5" t="str">
        <f t="shared" si="5"/>
        <v/>
      </c>
      <c r="K28" s="5" t="str">
        <f t="shared" si="6"/>
        <v/>
      </c>
      <c r="L28" s="5" t="str">
        <f t="shared" si="1"/>
        <v/>
      </c>
      <c r="N28" s="5" t="str">
        <f t="shared" si="2"/>
        <v/>
      </c>
      <c r="O28" s="5" t="str">
        <f t="shared" si="7"/>
        <v/>
      </c>
      <c r="P28" s="5" t="str">
        <f t="shared" si="8"/>
        <v/>
      </c>
      <c r="Q28" s="34" t="str">
        <f t="shared" si="3"/>
        <v/>
      </c>
      <c r="S28" s="21" t="s">
        <v>296</v>
      </c>
      <c r="T28" s="1" t="s">
        <v>297</v>
      </c>
      <c r="U28" s="5">
        <f>IF(U24&lt;30, 0.8, IF(U24&lt;60, 0.8*(60-U24)/30, 0))</f>
        <v>0.8</v>
      </c>
      <c r="V28" s="22" t="s">
        <v>291</v>
      </c>
    </row>
    <row r="29" spans="2:22" x14ac:dyDescent="0.25">
      <c r="B29" s="21">
        <v>6</v>
      </c>
      <c r="C29" s="104"/>
      <c r="D29" s="104"/>
      <c r="E29" s="5" t="str">
        <f t="shared" si="0"/>
        <v/>
      </c>
      <c r="F29" s="104"/>
      <c r="G29" s="5" t="str">
        <f>IF(C29&lt;&gt;"", SUM($F$24:F29), "")</f>
        <v/>
      </c>
      <c r="I29" s="5" t="str">
        <f t="shared" si="4"/>
        <v/>
      </c>
      <c r="J29" s="5" t="str">
        <f t="shared" si="5"/>
        <v/>
      </c>
      <c r="K29" s="5" t="str">
        <f t="shared" si="6"/>
        <v/>
      </c>
      <c r="L29" s="5" t="str">
        <f t="shared" si="1"/>
        <v/>
      </c>
      <c r="N29" s="5" t="str">
        <f t="shared" si="2"/>
        <v/>
      </c>
      <c r="O29" s="5" t="str">
        <f t="shared" si="7"/>
        <v/>
      </c>
      <c r="P29" s="5" t="str">
        <f t="shared" si="8"/>
        <v/>
      </c>
      <c r="Q29" s="34" t="str">
        <f t="shared" si="3"/>
        <v/>
      </c>
      <c r="S29" s="21" t="s">
        <v>298</v>
      </c>
      <c r="T29" s="1" t="s">
        <v>8</v>
      </c>
      <c r="U29" s="5">
        <f>U28*U25*U26*U23</f>
        <v>0.68</v>
      </c>
      <c r="V29" s="22" t="s">
        <v>291</v>
      </c>
    </row>
    <row r="30" spans="2:22" x14ac:dyDescent="0.25">
      <c r="B30" s="21">
        <v>7</v>
      </c>
      <c r="C30" s="104"/>
      <c r="D30" s="104"/>
      <c r="E30" s="5" t="str">
        <f t="shared" si="0"/>
        <v/>
      </c>
      <c r="F30" s="104"/>
      <c r="G30" s="5" t="str">
        <f>IF(C30&lt;&gt;"", SUM($F$24:F30), "")</f>
        <v/>
      </c>
      <c r="I30" s="5" t="str">
        <f t="shared" si="4"/>
        <v/>
      </c>
      <c r="J30" s="5" t="str">
        <f t="shared" si="5"/>
        <v/>
      </c>
      <c r="K30" s="5" t="str">
        <f t="shared" si="6"/>
        <v/>
      </c>
      <c r="L30" s="5" t="str">
        <f t="shared" si="1"/>
        <v/>
      </c>
      <c r="N30" s="5" t="str">
        <f t="shared" si="2"/>
        <v/>
      </c>
      <c r="O30" s="5" t="str">
        <f t="shared" si="7"/>
        <v/>
      </c>
      <c r="P30" s="5" t="str">
        <f t="shared" si="8"/>
        <v/>
      </c>
      <c r="Q30" s="34" t="str">
        <f t="shared" si="3"/>
        <v/>
      </c>
      <c r="S30" s="21"/>
      <c r="V30" s="22"/>
    </row>
    <row r="31" spans="2:22" x14ac:dyDescent="0.25">
      <c r="B31" s="21">
        <v>8</v>
      </c>
      <c r="C31" s="104"/>
      <c r="D31" s="104"/>
      <c r="E31" s="5" t="str">
        <f t="shared" si="0"/>
        <v/>
      </c>
      <c r="F31" s="104"/>
      <c r="G31" s="5" t="str">
        <f>IF(C31&lt;&gt;"", SUM($F$24:F31), "")</f>
        <v/>
      </c>
      <c r="I31" s="5" t="str">
        <f t="shared" si="4"/>
        <v/>
      </c>
      <c r="J31" s="5" t="str">
        <f t="shared" si="5"/>
        <v/>
      </c>
      <c r="K31" s="5" t="str">
        <f t="shared" si="6"/>
        <v/>
      </c>
      <c r="L31" s="5" t="str">
        <f t="shared" si="1"/>
        <v/>
      </c>
      <c r="N31" s="5" t="str">
        <f t="shared" si="2"/>
        <v/>
      </c>
      <c r="O31" s="5" t="str">
        <f t="shared" si="7"/>
        <v/>
      </c>
      <c r="P31" s="5" t="str">
        <f t="shared" si="8"/>
        <v/>
      </c>
      <c r="Q31" s="34" t="str">
        <f t="shared" si="3"/>
        <v/>
      </c>
      <c r="S31" s="21"/>
      <c r="V31" s="22"/>
    </row>
    <row r="32" spans="2:22" ht="15.75" thickBot="1" x14ac:dyDescent="0.3">
      <c r="B32" s="21">
        <v>9</v>
      </c>
      <c r="C32" s="104"/>
      <c r="D32" s="104"/>
      <c r="E32" s="5" t="str">
        <f t="shared" si="0"/>
        <v/>
      </c>
      <c r="F32" s="104"/>
      <c r="G32" s="5" t="str">
        <f>IF(C32&lt;&gt;"", SUM($F$24:F32), "")</f>
        <v/>
      </c>
      <c r="I32" s="5" t="str">
        <f t="shared" si="4"/>
        <v/>
      </c>
      <c r="J32" s="5" t="str">
        <f t="shared" si="5"/>
        <v/>
      </c>
      <c r="K32" s="5" t="str">
        <f t="shared" si="6"/>
        <v/>
      </c>
      <c r="L32" s="5" t="str">
        <f t="shared" si="1"/>
        <v/>
      </c>
      <c r="N32" s="5" t="str">
        <f t="shared" si="2"/>
        <v/>
      </c>
      <c r="O32" s="5" t="str">
        <f t="shared" si="7"/>
        <v/>
      </c>
      <c r="P32" s="5" t="str">
        <f t="shared" si="8"/>
        <v/>
      </c>
      <c r="Q32" s="34" t="str">
        <f t="shared" si="3"/>
        <v/>
      </c>
      <c r="S32" s="25"/>
      <c r="T32" s="27"/>
      <c r="U32" s="27"/>
      <c r="V32" s="28"/>
    </row>
    <row r="33" spans="2:23" ht="15.75" thickBot="1" x14ac:dyDescent="0.3">
      <c r="B33" s="25"/>
      <c r="C33" s="35"/>
      <c r="D33" s="35"/>
      <c r="E33" s="36"/>
      <c r="F33" s="35"/>
      <c r="G33" s="36"/>
      <c r="H33" s="27"/>
      <c r="I33" s="36"/>
      <c r="J33" s="36"/>
      <c r="K33" s="36"/>
      <c r="L33" s="36"/>
      <c r="M33" s="27"/>
      <c r="N33" s="36"/>
      <c r="O33" s="36"/>
      <c r="P33" s="36"/>
      <c r="Q33" s="37"/>
    </row>
    <row r="35" spans="2:23" ht="15.75" thickBot="1" x14ac:dyDescent="0.3"/>
    <row r="36" spans="2:23" x14ac:dyDescent="0.25">
      <c r="B36" s="29" t="s">
        <v>141</v>
      </c>
      <c r="C36" s="30"/>
      <c r="D36" s="30"/>
      <c r="E36" s="30"/>
      <c r="F36" s="30"/>
      <c r="G36" s="30"/>
      <c r="H36" s="30"/>
      <c r="I36" s="30"/>
      <c r="J36" s="31"/>
      <c r="L36" s="29" t="s">
        <v>142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1"/>
    </row>
    <row r="37" spans="2:23" x14ac:dyDescent="0.25">
      <c r="B37" s="21" t="s">
        <v>10</v>
      </c>
      <c r="C37" s="104">
        <v>0.44</v>
      </c>
      <c r="D37" t="s">
        <v>6</v>
      </c>
      <c r="J37" s="22"/>
      <c r="L37" s="23" t="s">
        <v>162</v>
      </c>
      <c r="M37" s="104">
        <v>1.25</v>
      </c>
      <c r="N37" t="s">
        <v>163</v>
      </c>
      <c r="Q37" s="128" t="s">
        <v>159</v>
      </c>
      <c r="R37" s="5">
        <f>0.19*(M44/0.05)^0.07</f>
        <v>0.19</v>
      </c>
      <c r="S37" s="128"/>
      <c r="W37" s="22"/>
    </row>
    <row r="38" spans="2:23" x14ac:dyDescent="0.25">
      <c r="B38" s="21" t="s">
        <v>11</v>
      </c>
      <c r="C38" s="104">
        <f>0.3*C37</f>
        <v>0.13200000000000001</v>
      </c>
      <c r="D38" t="s">
        <v>6</v>
      </c>
      <c r="J38" s="22"/>
      <c r="L38" s="93" t="s">
        <v>143</v>
      </c>
      <c r="M38" s="104">
        <v>2</v>
      </c>
      <c r="N38" s="128"/>
      <c r="O38" s="128"/>
      <c r="Q38" s="128" t="s">
        <v>160</v>
      </c>
      <c r="R38" s="5">
        <f>M39*M41*M42</f>
        <v>25</v>
      </c>
      <c r="S38" t="s">
        <v>145</v>
      </c>
      <c r="W38" s="22"/>
    </row>
    <row r="39" spans="2:23" x14ac:dyDescent="0.25">
      <c r="B39" s="21" t="s">
        <v>12</v>
      </c>
      <c r="C39" s="110" t="s">
        <v>13</v>
      </c>
      <c r="E39" s="115" t="s">
        <v>3</v>
      </c>
      <c r="F39" s="115" t="s">
        <v>4</v>
      </c>
      <c r="G39" s="115" t="s">
        <v>35</v>
      </c>
      <c r="H39" s="113"/>
      <c r="I39" s="115" t="s">
        <v>36</v>
      </c>
      <c r="J39" s="116" t="s">
        <v>32</v>
      </c>
      <c r="L39" s="93" t="s">
        <v>144</v>
      </c>
      <c r="M39" s="104">
        <v>25</v>
      </c>
      <c r="N39" s="128" t="s">
        <v>145</v>
      </c>
      <c r="O39" s="128"/>
      <c r="Q39" s="128" t="s">
        <v>166</v>
      </c>
      <c r="R39" s="8">
        <f>SUM(F24:F32)</f>
        <v>10.5</v>
      </c>
      <c r="S39" t="s">
        <v>5</v>
      </c>
      <c r="T39" t="s">
        <v>243</v>
      </c>
      <c r="W39" s="22"/>
    </row>
    <row r="40" spans="2:23" x14ac:dyDescent="0.25">
      <c r="B40" s="21" t="s">
        <v>14</v>
      </c>
      <c r="C40" s="104">
        <v>1</v>
      </c>
      <c r="E40">
        <v>1</v>
      </c>
      <c r="F40" s="5">
        <f>IF(C24&lt;&gt;"", L24*$C$3*$C$7, "")</f>
        <v>1058.4000000000001</v>
      </c>
      <c r="G40" s="6">
        <f t="shared" ref="G40:G48" si="9">IF(C24&lt;&gt;"", F40/$C$10, "")</f>
        <v>107.88990825688074</v>
      </c>
      <c r="I40" s="6">
        <f t="shared" ref="I40:I48" si="10">IF(C24&lt;&gt;"", G40*G24, "")</f>
        <v>377.61467889908261</v>
      </c>
      <c r="J40" s="60">
        <f t="shared" ref="J40:J48" si="11">IF(C24&lt;&gt;"", $C$70 * I40/$I$49, "")</f>
        <v>49.216218616262502</v>
      </c>
      <c r="L40" s="93" t="s">
        <v>146</v>
      </c>
      <c r="M40" s="104">
        <v>0.39</v>
      </c>
      <c r="N40" s="128" t="s">
        <v>145</v>
      </c>
      <c r="O40" s="128"/>
      <c r="Q40" s="128" t="s">
        <v>167</v>
      </c>
      <c r="R40" s="8">
        <f>C3</f>
        <v>21</v>
      </c>
      <c r="S40" t="s">
        <v>5</v>
      </c>
      <c r="W40" s="22"/>
    </row>
    <row r="41" spans="2:23" x14ac:dyDescent="0.25">
      <c r="B41" s="21" t="s">
        <v>15</v>
      </c>
      <c r="C41" s="104">
        <f>1.6*(1-0.2*C37)</f>
        <v>1.4592000000000001</v>
      </c>
      <c r="E41">
        <v>2</v>
      </c>
      <c r="F41" s="5">
        <f t="shared" ref="F41:F48" si="12">IF(C25&lt;&gt;"", L25*$C$3*$C$7, "")</f>
        <v>1058.4000000000001</v>
      </c>
      <c r="G41" s="6">
        <f t="shared" si="9"/>
        <v>107.88990825688074</v>
      </c>
      <c r="I41" s="6">
        <f t="shared" si="10"/>
        <v>755.22935779816521</v>
      </c>
      <c r="J41" s="60">
        <f t="shared" si="11"/>
        <v>98.432437232525004</v>
      </c>
      <c r="L41" s="93" t="s">
        <v>153</v>
      </c>
      <c r="M41" s="104">
        <v>1</v>
      </c>
      <c r="N41" s="128"/>
      <c r="O41" s="128"/>
      <c r="Q41" s="128" t="s">
        <v>104</v>
      </c>
      <c r="R41" s="5">
        <f>C4</f>
        <v>24</v>
      </c>
      <c r="S41" s="128" t="s">
        <v>5</v>
      </c>
      <c r="W41" s="22"/>
    </row>
    <row r="42" spans="2:23" x14ac:dyDescent="0.25">
      <c r="B42" s="21" t="s">
        <v>16</v>
      </c>
      <c r="C42" s="104">
        <f>2.3*(1-0.3*C38)</f>
        <v>2.20892</v>
      </c>
      <c r="E42">
        <v>3</v>
      </c>
      <c r="F42" s="5">
        <f t="shared" si="12"/>
        <v>1058.4000000000001</v>
      </c>
      <c r="G42" s="6">
        <f t="shared" si="9"/>
        <v>107.88990825688074</v>
      </c>
      <c r="I42" s="6">
        <f t="shared" si="10"/>
        <v>1132.8440366972477</v>
      </c>
      <c r="J42" s="60">
        <f t="shared" si="11"/>
        <v>147.64865584878748</v>
      </c>
      <c r="L42" s="93" t="s">
        <v>154</v>
      </c>
      <c r="M42" s="104">
        <v>1</v>
      </c>
      <c r="O42" s="128"/>
      <c r="Q42" s="128" t="s">
        <v>168</v>
      </c>
      <c r="R42" s="9">
        <f>R39/R40</f>
        <v>0.5</v>
      </c>
      <c r="W42" s="22"/>
    </row>
    <row r="43" spans="2:23" x14ac:dyDescent="0.25">
      <c r="B43" s="21"/>
      <c r="E43">
        <v>4</v>
      </c>
      <c r="F43" s="5" t="str">
        <f t="shared" si="12"/>
        <v/>
      </c>
      <c r="G43" s="6" t="str">
        <f t="shared" si="9"/>
        <v/>
      </c>
      <c r="I43" s="6" t="str">
        <f t="shared" si="10"/>
        <v/>
      </c>
      <c r="J43" s="60" t="str">
        <f t="shared" si="11"/>
        <v/>
      </c>
      <c r="L43" s="93" t="s">
        <v>155</v>
      </c>
      <c r="M43" s="104">
        <v>2</v>
      </c>
      <c r="N43" s="128"/>
      <c r="O43" s="128"/>
      <c r="Q43" s="128" t="s">
        <v>190</v>
      </c>
      <c r="R43" s="5">
        <f>R40/R41</f>
        <v>0.875</v>
      </c>
      <c r="W43" s="22"/>
    </row>
    <row r="44" spans="2:23" ht="18" x14ac:dyDescent="0.35">
      <c r="B44" s="21" t="s">
        <v>17</v>
      </c>
      <c r="C44" s="6">
        <f>C40*C41*C37</f>
        <v>0.64204800000000006</v>
      </c>
      <c r="E44">
        <v>5</v>
      </c>
      <c r="F44" s="5" t="str">
        <f t="shared" si="12"/>
        <v/>
      </c>
      <c r="G44" s="6" t="str">
        <f t="shared" si="9"/>
        <v/>
      </c>
      <c r="I44" s="6" t="str">
        <f t="shared" si="10"/>
        <v/>
      </c>
      <c r="J44" s="60" t="str">
        <f t="shared" si="11"/>
        <v/>
      </c>
      <c r="L44" s="93" t="s">
        <v>150</v>
      </c>
      <c r="M44" s="104">
        <v>0.05</v>
      </c>
      <c r="N44" s="128" t="s">
        <v>5</v>
      </c>
      <c r="O44" s="128"/>
      <c r="Q44" s="128" t="s">
        <v>194</v>
      </c>
      <c r="R44" s="9">
        <f>R39/R41</f>
        <v>0.4375</v>
      </c>
      <c r="W44" s="22"/>
    </row>
    <row r="45" spans="2:23" ht="18" x14ac:dyDescent="0.35">
      <c r="B45" s="21" t="s">
        <v>18</v>
      </c>
      <c r="C45" s="6">
        <f>C40*C42*C38</f>
        <v>0.29157744000000002</v>
      </c>
      <c r="E45">
        <v>6</v>
      </c>
      <c r="F45" s="5" t="str">
        <f t="shared" si="12"/>
        <v/>
      </c>
      <c r="G45" s="6" t="str">
        <f t="shared" si="9"/>
        <v/>
      </c>
      <c r="I45" s="6" t="str">
        <f t="shared" si="10"/>
        <v/>
      </c>
      <c r="J45" s="60" t="str">
        <f t="shared" si="11"/>
        <v/>
      </c>
      <c r="L45" s="93" t="s">
        <v>152</v>
      </c>
      <c r="M45" s="104">
        <v>2</v>
      </c>
      <c r="N45" s="128" t="s">
        <v>5</v>
      </c>
      <c r="O45" s="128"/>
      <c r="Q45" s="128" t="s">
        <v>147</v>
      </c>
      <c r="R45" s="9">
        <f>IF(R42&gt;=1, 0.8, IF(AND(R42&lt;1, R42&gt;0.25), 0.8-0.1333*R42, 0.7))</f>
        <v>0.73335000000000006</v>
      </c>
      <c r="W45" s="22"/>
    </row>
    <row r="46" spans="2:23" x14ac:dyDescent="0.25">
      <c r="B46" s="21"/>
      <c r="E46">
        <v>7</v>
      </c>
      <c r="F46" s="5" t="str">
        <f t="shared" si="12"/>
        <v/>
      </c>
      <c r="G46" s="6" t="str">
        <f t="shared" si="9"/>
        <v/>
      </c>
      <c r="I46" s="6" t="str">
        <f t="shared" si="10"/>
        <v/>
      </c>
      <c r="J46" s="60" t="str">
        <f t="shared" si="11"/>
        <v/>
      </c>
      <c r="L46" s="93" t="s">
        <v>173</v>
      </c>
      <c r="M46" s="9">
        <f>0.67+0.05*LN(M44)</f>
        <v>0.52021338632230052</v>
      </c>
      <c r="N46" s="128"/>
      <c r="O46" s="128"/>
      <c r="Q46" s="128" t="s">
        <v>148</v>
      </c>
      <c r="R46" s="9">
        <f>IF(R42&gt;5, -0.7, IF(AND(R42&gt;1, R42&lt;=5), -0.7+0.05*(5-R42), IF(AND(R42&gt;0.25, R42&lt;=1), -0.5+0.2667*(1-R42), -0.3)))</f>
        <v>-0.36665000000000003</v>
      </c>
      <c r="S46" s="128"/>
      <c r="W46" s="22"/>
    </row>
    <row r="47" spans="2:23" x14ac:dyDescent="0.25">
      <c r="B47" s="21" t="s">
        <v>24</v>
      </c>
      <c r="C47" s="104">
        <v>2.5</v>
      </c>
      <c r="E47">
        <v>8</v>
      </c>
      <c r="F47" s="5" t="str">
        <f t="shared" si="12"/>
        <v/>
      </c>
      <c r="G47" s="6" t="str">
        <f t="shared" si="9"/>
        <v/>
      </c>
      <c r="I47" s="6" t="str">
        <f t="shared" si="10"/>
        <v/>
      </c>
      <c r="J47" s="60" t="str">
        <f t="shared" si="11"/>
        <v/>
      </c>
      <c r="L47" s="93" t="s">
        <v>156</v>
      </c>
      <c r="M47" s="110" t="s">
        <v>157</v>
      </c>
      <c r="N47" s="128"/>
      <c r="O47" s="128"/>
      <c r="Q47" s="128" t="s">
        <v>182</v>
      </c>
      <c r="R47" s="9">
        <f>MAX(0.6*R39, M45)</f>
        <v>6.3</v>
      </c>
      <c r="S47" t="s">
        <v>5</v>
      </c>
      <c r="W47" s="22"/>
    </row>
    <row r="48" spans="2:23" x14ac:dyDescent="0.25">
      <c r="B48" s="23" t="s">
        <v>25</v>
      </c>
      <c r="C48" s="104">
        <v>4</v>
      </c>
      <c r="E48">
        <v>9</v>
      </c>
      <c r="F48" s="5" t="str">
        <f t="shared" si="12"/>
        <v/>
      </c>
      <c r="G48" s="6" t="str">
        <f t="shared" si="9"/>
        <v/>
      </c>
      <c r="I48" s="6" t="str">
        <f t="shared" si="10"/>
        <v/>
      </c>
      <c r="J48" s="60" t="str">
        <f t="shared" si="11"/>
        <v/>
      </c>
      <c r="L48" s="93" t="s">
        <v>149</v>
      </c>
      <c r="M48" s="104">
        <v>1</v>
      </c>
      <c r="N48" s="128"/>
      <c r="O48" s="128"/>
      <c r="Q48" s="128" t="s">
        <v>174</v>
      </c>
      <c r="R48" s="9">
        <f>IF(R47&gt;M45,300*(R47/200)^M46, 300*(M45/200)^M46)</f>
        <v>49.650348672658282</v>
      </c>
      <c r="W48" s="22"/>
    </row>
    <row r="49" spans="2:23" x14ac:dyDescent="0.25">
      <c r="B49" s="21" t="s">
        <v>19</v>
      </c>
      <c r="C49" s="104">
        <v>0.02</v>
      </c>
      <c r="E49" s="120" t="s">
        <v>139</v>
      </c>
      <c r="F49" s="7">
        <f>SUM(F40:F48)</f>
        <v>3175.2000000000003</v>
      </c>
      <c r="G49" s="7">
        <f>SUM(G40:G48)</f>
        <v>323.66972477064223</v>
      </c>
      <c r="H49" s="7"/>
      <c r="I49" s="7">
        <f t="shared" ref="I49:J49" si="13">SUM(I40:I48)</f>
        <v>2265.6880733944954</v>
      </c>
      <c r="J49" s="94">
        <f t="shared" si="13"/>
        <v>295.29731169757497</v>
      </c>
      <c r="L49" s="93" t="s">
        <v>151</v>
      </c>
      <c r="M49" s="104">
        <v>1</v>
      </c>
      <c r="N49" s="128"/>
      <c r="O49" s="128"/>
      <c r="Q49" s="128" t="s">
        <v>184</v>
      </c>
      <c r="R49" s="9">
        <f>IF(R47&lt;=$M$45, $R$37*LN($M$45/$M$44),  $R$37*LN(R47/$M$44))</f>
        <v>0.91889356232078079</v>
      </c>
      <c r="W49" s="22"/>
    </row>
    <row r="50" spans="2:23" x14ac:dyDescent="0.25">
      <c r="B50" s="21" t="s">
        <v>20</v>
      </c>
      <c r="C50" s="104">
        <f>IF((C51/C48) &lt; 0.05, C51/C48, IF((C51/C48) &lt; 0.01, 0.05, 0.1))</f>
        <v>0.1</v>
      </c>
      <c r="J50" s="22"/>
      <c r="L50" s="21"/>
      <c r="O50" s="128"/>
      <c r="Q50" s="128" t="s">
        <v>183</v>
      </c>
      <c r="R50" s="9">
        <f>R49*$M$48*$R$38</f>
        <v>22.972339058019521</v>
      </c>
      <c r="S50" t="s">
        <v>145</v>
      </c>
      <c r="W50" s="22"/>
    </row>
    <row r="51" spans="2:23" x14ac:dyDescent="0.25">
      <c r="B51" s="21" t="s">
        <v>21</v>
      </c>
      <c r="C51" s="6">
        <f>IF(C37=0, 0, C45/C44 * C53)</f>
        <v>0.45413651315789472</v>
      </c>
      <c r="E51" s="114" t="s">
        <v>38</v>
      </c>
      <c r="J51" s="22"/>
      <c r="L51" s="21"/>
      <c r="M51" s="17" t="s">
        <v>135</v>
      </c>
      <c r="N51" s="17" t="s">
        <v>136</v>
      </c>
      <c r="O51" s="17" t="s">
        <v>279</v>
      </c>
      <c r="Q51" s="128" t="s">
        <v>175</v>
      </c>
      <c r="R51" s="146">
        <f>1 / (1+3/2*SQRT((C4/R48)^2 + (R39/R48)^2 + (C4*R39/R48^2)^2))</f>
        <v>0.55366595512566241</v>
      </c>
      <c r="W51" s="22"/>
    </row>
    <row r="52" spans="2:23" x14ac:dyDescent="0.25">
      <c r="B52" s="21" t="s">
        <v>22</v>
      </c>
      <c r="C52" s="6">
        <f>IF(C38*C10 &lt;= 1, 2, 1+C38)</f>
        <v>1.1320000000000001</v>
      </c>
      <c r="E52" s="115" t="s">
        <v>3</v>
      </c>
      <c r="F52" s="115" t="s">
        <v>35</v>
      </c>
      <c r="G52" s="115" t="s">
        <v>37</v>
      </c>
      <c r="H52" s="115" t="s">
        <v>39</v>
      </c>
      <c r="I52" s="115" t="s">
        <v>40</v>
      </c>
      <c r="J52" s="117"/>
      <c r="L52" s="93" t="s">
        <v>172</v>
      </c>
      <c r="M52" s="9">
        <f>IF($R$39&lt;15, 1, (1+2*M54*$R$59*SQRT($R$51+M56))/(1+7*$R$59))</f>
        <v>1</v>
      </c>
      <c r="N52" s="9">
        <f>IF($R$39&lt;15, 1, (1+2*N54*$R$59*SQRT($R$51+N56))/(1+7*$R$59))</f>
        <v>1</v>
      </c>
      <c r="O52" s="9">
        <f>IF($R$39&lt;15, 1, (1+2*O54*$R$59*SQRT($R$51+O56))/(1+7*$R$59))</f>
        <v>1</v>
      </c>
      <c r="Q52" s="1" t="s">
        <v>187</v>
      </c>
      <c r="R52" s="104">
        <v>0.05</v>
      </c>
      <c r="W52" s="22"/>
    </row>
    <row r="53" spans="2:23" x14ac:dyDescent="0.25">
      <c r="B53" s="21" t="s">
        <v>23</v>
      </c>
      <c r="C53" s="104">
        <v>1</v>
      </c>
      <c r="E53">
        <v>1</v>
      </c>
      <c r="F53" s="6">
        <f>IF(C24&lt;&gt;"", G40, "")</f>
        <v>107.88990825688074</v>
      </c>
      <c r="G53" s="189">
        <v>4.82E-2</v>
      </c>
      <c r="H53" s="6">
        <f t="shared" ref="H53:H61" si="14">IF(C24&lt;&gt;"", F53*G53, "")</f>
        <v>5.2002935779816521</v>
      </c>
      <c r="I53" s="6">
        <f t="shared" ref="I53:I61" si="15">IF(C24&lt;&gt;"", F53*G53^2, "")</f>
        <v>0.25065415045871559</v>
      </c>
      <c r="J53" s="22"/>
      <c r="L53" s="21"/>
      <c r="Q53" s="1" t="s">
        <v>189</v>
      </c>
      <c r="R53" s="145">
        <f>R54*R57*R58</f>
        <v>1.4877072608321089</v>
      </c>
      <c r="W53" s="22"/>
    </row>
    <row r="54" spans="2:23" x14ac:dyDescent="0.25">
      <c r="B54" s="21" t="s">
        <v>27</v>
      </c>
      <c r="C54" s="104">
        <v>1</v>
      </c>
      <c r="E54">
        <v>2</v>
      </c>
      <c r="F54" s="6">
        <f>G41</f>
        <v>107.88990825688074</v>
      </c>
      <c r="G54" s="189">
        <v>9.5600000000000004E-2</v>
      </c>
      <c r="H54" s="6">
        <f t="shared" si="14"/>
        <v>10.314275229357799</v>
      </c>
      <c r="I54" s="6">
        <f t="shared" si="15"/>
        <v>0.9860447119266057</v>
      </c>
      <c r="J54" s="22"/>
      <c r="L54" s="23" t="s">
        <v>199</v>
      </c>
      <c r="M54" s="9" t="e">
        <f>MAX(3, SQRT(2*LN(M55*600))+0.6/(SQRT(2*LN(M55*600))))</f>
        <v>#DIV/0!</v>
      </c>
      <c r="N54" s="9" t="e">
        <f>MAX(3, SQRT(2*LN(N55*600))+0.6/(SQRT(2*LN(N55*600))))</f>
        <v>#DIV/0!</v>
      </c>
      <c r="O54" s="9" t="e">
        <f>MAX(3, SQRT(2*LN(O55*600))+0.6/(SQRT(2*LN(O55*600))))</f>
        <v>#DIV/0!</v>
      </c>
      <c r="Q54" s="1" t="s">
        <v>191</v>
      </c>
      <c r="R54" s="6">
        <f>IF(R43&lt;=0.2, 2, IF(R43&lt;=0.7, 0.3193*LN(R43)+2.5139, IF(R43&lt;=5, -0.7121*LN(R43)+2.146, IF(R43&lt;=10, -0.1443*LN(R43)+1.2322, 0.9))))</f>
        <v>2.2410877046879225</v>
      </c>
      <c r="W54" s="22"/>
    </row>
    <row r="55" spans="2:23" x14ac:dyDescent="0.25">
      <c r="B55" s="21" t="s">
        <v>42</v>
      </c>
      <c r="C55" s="104">
        <v>4</v>
      </c>
      <c r="E55">
        <v>3</v>
      </c>
      <c r="F55" s="6">
        <f>G42</f>
        <v>107.88990825688074</v>
      </c>
      <c r="G55" s="189">
        <v>0.14030000000000001</v>
      </c>
      <c r="H55" s="6">
        <f t="shared" si="14"/>
        <v>15.136954128440369</v>
      </c>
      <c r="I55" s="6">
        <f t="shared" si="15"/>
        <v>2.1237146642201838</v>
      </c>
      <c r="J55" s="22"/>
      <c r="L55" s="23" t="s">
        <v>284</v>
      </c>
      <c r="M55" s="9" t="e">
        <f>MAX(M67*SQRT(M56/($R$51+M56)), 0.08)</f>
        <v>#DIV/0!</v>
      </c>
      <c r="N55" s="9" t="e">
        <f t="shared" ref="N55" si="16">MAX(N67*SQRT(N56/($R$51+N56)), 0.08)</f>
        <v>#DIV/0!</v>
      </c>
      <c r="O55" s="9" t="e">
        <f>MAX(O67*SQRT(O56/($R$51+O56)), 0.08)</f>
        <v>#DIV/0!</v>
      </c>
      <c r="Q55" s="1" t="s">
        <v>195</v>
      </c>
      <c r="R55" s="6">
        <f>MAX(R39,R41)/MIN(R39,R41)</f>
        <v>2.2857142857142856</v>
      </c>
      <c r="W55" s="22"/>
    </row>
    <row r="56" spans="2:23" x14ac:dyDescent="0.25">
      <c r="B56" s="21" t="s">
        <v>43</v>
      </c>
      <c r="C56" s="189">
        <v>1.92</v>
      </c>
      <c r="E56">
        <v>4</v>
      </c>
      <c r="F56" s="6" t="str">
        <f>IF(C27&lt;&gt;"", G43, "")</f>
        <v/>
      </c>
      <c r="G56" s="104"/>
      <c r="H56" s="6" t="str">
        <f t="shared" si="14"/>
        <v/>
      </c>
      <c r="I56" s="6" t="str">
        <f t="shared" si="15"/>
        <v/>
      </c>
      <c r="J56" s="22"/>
      <c r="L56" s="93" t="s">
        <v>176</v>
      </c>
      <c r="M56" s="9" t="e">
        <f>PI()^2/(2*M64)*M57*M59</f>
        <v>#DIV/0!</v>
      </c>
      <c r="N56" s="147" t="e">
        <f t="shared" ref="N56" si="17">PI()^2/(2*N64)*N57*N59</f>
        <v>#DIV/0!</v>
      </c>
      <c r="O56" s="9" t="e">
        <f>PI()^2/(2*O64)*O57*O59</f>
        <v>#DIV/0!</v>
      </c>
      <c r="Q56" t="s">
        <v>193</v>
      </c>
      <c r="R56" s="6">
        <f>IF(R39&gt;=50, 1.4*R55, IF(R39&lt;15, 2*R55, (2 - 3/175*(R39-15))*R55))</f>
        <v>4.5714285714285712</v>
      </c>
      <c r="W56" s="22"/>
    </row>
    <row r="57" spans="2:23" x14ac:dyDescent="0.25">
      <c r="B57" s="21" t="s">
        <v>44</v>
      </c>
      <c r="C57" s="189">
        <v>1.1000000000000001</v>
      </c>
      <c r="E57">
        <v>5</v>
      </c>
      <c r="F57" s="6" t="str">
        <f t="shared" ref="F57:F58" si="18">G44</f>
        <v/>
      </c>
      <c r="G57" s="104"/>
      <c r="H57" s="6" t="str">
        <f t="shared" si="14"/>
        <v/>
      </c>
      <c r="I57" s="6" t="str">
        <f t="shared" si="15"/>
        <v/>
      </c>
      <c r="J57" s="22"/>
      <c r="L57" s="93" t="s">
        <v>177</v>
      </c>
      <c r="M57" s="145" t="e">
        <f>6.8*M58/(1+10.2*M58)^(5/3)</f>
        <v>#DIV/0!</v>
      </c>
      <c r="N57" s="129" t="e">
        <f>6.8*N58/(1+10.2*N58)^(5/3)</f>
        <v>#DIV/0!</v>
      </c>
      <c r="O57" s="9" t="e">
        <f>6.8*O58/(1+10.2*O58)^(5/3)</f>
        <v>#DIV/0!</v>
      </c>
      <c r="Q57" s="1" t="s">
        <v>192</v>
      </c>
      <c r="R57" s="145">
        <f>IF(R56&lt;=10, 0.6+0.042*LN(R56), 0.441+0.111*LN(R56))</f>
        <v>0.66383268165726528</v>
      </c>
      <c r="W57" s="22"/>
    </row>
    <row r="58" spans="2:23" x14ac:dyDescent="0.25">
      <c r="B58" s="21" t="s">
        <v>45</v>
      </c>
      <c r="C58" s="189">
        <v>1.5</v>
      </c>
      <c r="E58">
        <v>6</v>
      </c>
      <c r="F58" s="6" t="str">
        <f t="shared" si="18"/>
        <v/>
      </c>
      <c r="G58" s="104"/>
      <c r="H58" s="6" t="str">
        <f t="shared" si="14"/>
        <v/>
      </c>
      <c r="I58" s="6" t="str">
        <f t="shared" si="15"/>
        <v/>
      </c>
      <c r="J58" s="22"/>
      <c r="L58" s="93" t="s">
        <v>186</v>
      </c>
      <c r="M58" s="9" t="e">
        <f>M67*$R$48/$R$50</f>
        <v>#DIV/0!</v>
      </c>
      <c r="N58" s="9" t="e">
        <f t="shared" ref="N58" si="19">N67*$R$48/$R$50</f>
        <v>#DIV/0!</v>
      </c>
      <c r="O58" s="9" t="e">
        <f>O67*$R$48/$R$50</f>
        <v>#DIV/0!</v>
      </c>
      <c r="Q58" s="1" t="s">
        <v>196</v>
      </c>
      <c r="R58" s="104">
        <v>1</v>
      </c>
      <c r="W58" s="22"/>
    </row>
    <row r="59" spans="2:23" x14ac:dyDescent="0.25">
      <c r="B59" s="21" t="s">
        <v>302</v>
      </c>
      <c r="C59" s="5">
        <f>C56*C57*C58</f>
        <v>3.1680000000000001</v>
      </c>
      <c r="E59">
        <v>7</v>
      </c>
      <c r="F59" s="6" t="str">
        <f>IF(C30&lt;&gt;"", G46, "")</f>
        <v/>
      </c>
      <c r="G59" s="104"/>
      <c r="H59" s="6" t="str">
        <f t="shared" si="14"/>
        <v/>
      </c>
      <c r="I59" s="6" t="str">
        <f t="shared" si="15"/>
        <v/>
      </c>
      <c r="J59" s="22"/>
      <c r="L59" s="93" t="s">
        <v>178</v>
      </c>
      <c r="M59" s="9" t="e">
        <f>1 / (1+SQRT((M60*M62)^2 + (M61*M63)^2+(2*M60*M61*M62*M63/PI())^2))</f>
        <v>#DIV/0!</v>
      </c>
      <c r="N59" s="9" t="e">
        <f>1 / (1+SQRT((N60*N62)^2 + (N61*N63)^2+(2*N60*N61*N62*N63/PI())^2))</f>
        <v>#DIV/0!</v>
      </c>
      <c r="O59" s="9" t="e">
        <f>1 / (1+SQRT((O60*O62)^2 + (O61*O63)^2+(2*O60*O61*O62*O63/PI())^2))</f>
        <v>#DIV/0!</v>
      </c>
      <c r="Q59" s="128" t="s">
        <v>200</v>
      </c>
      <c r="R59" s="9">
        <f>IF(R47&lt;M45, $M$49/($M$48*LN($M$45/$M$44)), $M$49/($M$48*LN(R47/$M$44)))</f>
        <v>0.20677041149372208</v>
      </c>
      <c r="W59" s="22"/>
    </row>
    <row r="60" spans="2:23" ht="15.75" thickBot="1" x14ac:dyDescent="0.3">
      <c r="B60" s="21" t="s">
        <v>50</v>
      </c>
      <c r="C60" s="5">
        <f>IF(T&gt;=TC, C59, MIN( 1 + (C59-1)*TC/T, 3*C59))</f>
        <v>3.1680000000000001</v>
      </c>
      <c r="E60">
        <v>8</v>
      </c>
      <c r="F60" s="6" t="str">
        <f t="shared" ref="F60:F61" si="20">G47</f>
        <v/>
      </c>
      <c r="G60" s="104"/>
      <c r="H60" s="6" t="str">
        <f t="shared" si="14"/>
        <v/>
      </c>
      <c r="I60" s="6" t="str">
        <f t="shared" si="15"/>
        <v/>
      </c>
      <c r="J60" s="22"/>
      <c r="L60" s="93" t="s">
        <v>179</v>
      </c>
      <c r="M60" s="104">
        <v>0.5</v>
      </c>
      <c r="N60" s="104">
        <v>0.5</v>
      </c>
      <c r="O60" s="104">
        <v>0.5</v>
      </c>
      <c r="W60" s="22"/>
    </row>
    <row r="61" spans="2:23" x14ac:dyDescent="0.25">
      <c r="B61" s="21" t="s">
        <v>41</v>
      </c>
      <c r="C61" s="5">
        <f>IF(T&lt;=TA, C57*C58, IF(T&lt;=TB, C57*C58 + (C59-C57*C58)*(T-TA)/(TB-TA), C59))</f>
        <v>3.1680000000000001</v>
      </c>
      <c r="E61">
        <v>9</v>
      </c>
      <c r="F61" s="6" t="str">
        <f t="shared" si="20"/>
        <v/>
      </c>
      <c r="G61" s="104"/>
      <c r="H61" s="6" t="str">
        <f t="shared" si="14"/>
        <v/>
      </c>
      <c r="I61" s="6" t="str">
        <f t="shared" si="15"/>
        <v/>
      </c>
      <c r="J61" s="22"/>
      <c r="L61" s="93" t="s">
        <v>180</v>
      </c>
      <c r="M61" s="104">
        <f>3/8</f>
        <v>0.375</v>
      </c>
      <c r="N61" s="104">
        <f>3/8</f>
        <v>0.375</v>
      </c>
      <c r="O61" s="104">
        <f>3/8</f>
        <v>0.375</v>
      </c>
      <c r="Q61" s="109"/>
      <c r="R61" s="38" t="s">
        <v>272</v>
      </c>
      <c r="S61" s="38"/>
      <c r="T61" s="38"/>
      <c r="U61" s="38"/>
      <c r="V61" s="38"/>
      <c r="W61" s="39"/>
    </row>
    <row r="62" spans="2:23" x14ac:dyDescent="0.25">
      <c r="B62" s="21"/>
      <c r="E62" s="120" t="s">
        <v>139</v>
      </c>
      <c r="F62" s="118"/>
      <c r="G62" s="118"/>
      <c r="H62" s="7">
        <f>SUM(H53:H61)</f>
        <v>30.65152293577982</v>
      </c>
      <c r="I62" s="7">
        <f>SUM(I53:I61)</f>
        <v>3.3604135266055053</v>
      </c>
      <c r="J62" s="119"/>
      <c r="L62" s="23" t="s">
        <v>181</v>
      </c>
      <c r="M62" s="6" t="e">
        <f>11.5*$R$41*M67/$R$50</f>
        <v>#DIV/0!</v>
      </c>
      <c r="N62" s="6" t="e">
        <f>11.5*$R$41*N67/$R$50</f>
        <v>#DIV/0!</v>
      </c>
      <c r="O62" s="6" t="e">
        <f t="shared" ref="O62" si="21">11.5*$R$41*O67/$R$50</f>
        <v>#DIV/0!</v>
      </c>
      <c r="Q62" s="21"/>
      <c r="R62" s="106" t="s">
        <v>264</v>
      </c>
      <c r="S62" s="105" t="s">
        <v>158</v>
      </c>
      <c r="T62" s="105" t="s">
        <v>161</v>
      </c>
      <c r="U62" s="105" t="s">
        <v>164</v>
      </c>
      <c r="V62" s="105" t="s">
        <v>165</v>
      </c>
      <c r="W62" s="107" t="s">
        <v>265</v>
      </c>
    </row>
    <row r="63" spans="2:23" x14ac:dyDescent="0.25">
      <c r="B63" s="21" t="s">
        <v>9</v>
      </c>
      <c r="C63" s="188">
        <v>0.84119999999999995</v>
      </c>
      <c r="D63" t="s">
        <v>8</v>
      </c>
      <c r="J63" s="22"/>
      <c r="L63" s="23" t="s">
        <v>185</v>
      </c>
      <c r="M63" s="6" t="e">
        <f>11.5*$R$39*M67/$R$50</f>
        <v>#DIV/0!</v>
      </c>
      <c r="N63" s="6" t="e">
        <f t="shared" ref="N63:O63" si="22">11.5*$R$39*N67/$R$50</f>
        <v>#DIV/0!</v>
      </c>
      <c r="O63" s="6" t="e">
        <f t="shared" si="22"/>
        <v>#DIV/0!</v>
      </c>
      <c r="Q63" s="24" t="s">
        <v>266</v>
      </c>
      <c r="R63" s="5">
        <f>R41</f>
        <v>24</v>
      </c>
      <c r="S63" s="5">
        <f>IF(R63&lt;=Loads!$M$45, Loads!$R$37*LN(Loads!$M$45/Loads!$M$44),  Loads!$R$37*LN(R63/Loads!$M$44))</f>
        <v>1.1730193597413681</v>
      </c>
      <c r="T63" s="5">
        <f>S63*Loads!$M$48*Loads!$R$38</f>
        <v>29.325483993534203</v>
      </c>
      <c r="U63" s="5">
        <f>IF(R63&lt;Loads!$M$45, Loads!$M$49/(Loads!$M$48*LN(Loads!$M$45/Loads!$M$44)),Loads!$M$49/(Loads!$M$48*LN(R63/Loads!$M$44)))</f>
        <v>0.16197516129818348</v>
      </c>
      <c r="V63" s="5">
        <f>(1+7*U63)*0.5*Loads!$M$37*T63^2 / 1000</f>
        <v>1.1469102214000271</v>
      </c>
      <c r="W63" s="34">
        <f>V63*Loads!$R$45</f>
        <v>0.84108661086370995</v>
      </c>
    </row>
    <row r="64" spans="2:23" ht="18.75" thickBot="1" x14ac:dyDescent="0.4">
      <c r="B64" s="126" t="s">
        <v>26</v>
      </c>
      <c r="C64" s="9">
        <f>IF(T&lt;TA, C44/C47, IF(T&lt;TB, C44/(TA-TB) * (C54*(T-TA) + (TB-T)/C47), IF(T&lt;TC, C54*C44, IF(T&lt;TD, C54*C45*C53/T, C54*TD*C45*C53/T^2))))</f>
        <v>0.34662082738944372</v>
      </c>
      <c r="D64" t="s">
        <v>6</v>
      </c>
      <c r="E64" t="s">
        <v>47</v>
      </c>
      <c r="F64" s="9">
        <f>2* SQRT(I62/H62)</f>
        <v>0.66221700536637518</v>
      </c>
      <c r="G64" t="s">
        <v>8</v>
      </c>
      <c r="J64" s="22"/>
      <c r="L64" s="23" t="s">
        <v>198</v>
      </c>
      <c r="M64" s="6" t="e">
        <f>$R$52+M65</f>
        <v>#DIV/0!</v>
      </c>
      <c r="N64" s="6" t="e">
        <f t="shared" ref="N64" si="23">$R$52+N65</f>
        <v>#DIV/0!</v>
      </c>
      <c r="O64" s="6" t="e">
        <f>$R$52+O65</f>
        <v>#DIV/0!</v>
      </c>
      <c r="Q64" s="108" t="s">
        <v>267</v>
      </c>
      <c r="R64" s="43">
        <f>Loads!$R$39</f>
        <v>10.5</v>
      </c>
      <c r="S64" s="36">
        <f>IF(R64&lt;=Loads!$M$45, Loads!$R$37*LN(Loads!$M$45/Loads!$M$44),  Loads!$R$37*LN(R64/Loads!$M$44))</f>
        <v>1.015950430836319</v>
      </c>
      <c r="T64" s="36">
        <f>S64*Loads!$M$48*Loads!$R$38</f>
        <v>25.398760770907973</v>
      </c>
      <c r="U64" s="36">
        <f>IF(R64&lt;Loads!$M$45, Loads!$M$49/(Loads!$M$48*LN(Loads!$M$45/Loads!$M$44)),Loads!$M$49/(Loads!$M$48*LN(R64/Loads!$M$44)))</f>
        <v>0.18701699830334648</v>
      </c>
      <c r="V64" s="36">
        <f>(1+7*U64)*0.5*Loads!$M$37*T64^2 / 1000</f>
        <v>0.93100365270656504</v>
      </c>
      <c r="W64" s="37">
        <f>V64*Loads!$R$45</f>
        <v>0.68275152871235956</v>
      </c>
    </row>
    <row r="65" spans="2:23" ht="15.75" thickBot="1" x14ac:dyDescent="0.3">
      <c r="B65" s="126"/>
      <c r="C65" s="9">
        <f>C64*C10</f>
        <v>3.4003503166904432</v>
      </c>
      <c r="D65" t="s">
        <v>7</v>
      </c>
      <c r="J65" s="22"/>
      <c r="L65" s="23" t="s">
        <v>188</v>
      </c>
      <c r="M65" s="6" t="e">
        <f>$R$53*$M$37*$R$41*$R$50/(2*M67*M66)</f>
        <v>#DIV/0!</v>
      </c>
      <c r="N65" s="6" t="e">
        <f>$R$53*$M$37*$R$41*$R$50/(2*N67*N66)</f>
        <v>#DIV/0!</v>
      </c>
      <c r="O65" s="6" t="e">
        <f>$R$53*$M$37*$R$41*$R$50/(2*O67*O66)</f>
        <v>#DIV/0!</v>
      </c>
      <c r="W65" s="22"/>
    </row>
    <row r="66" spans="2:23" x14ac:dyDescent="0.25">
      <c r="B66" s="126" t="s">
        <v>46</v>
      </c>
      <c r="C66" s="9">
        <f>MAX(C64/C61, 0.08*C37)</f>
        <v>0.10941313995878905</v>
      </c>
      <c r="D66" t="s">
        <v>6</v>
      </c>
      <c r="J66" s="22"/>
      <c r="L66" s="21" t="s">
        <v>286</v>
      </c>
      <c r="M66" s="6">
        <f>SUMPRODUCT(P73:P81,S73:S81)/SUM(S73:S81)*1000</f>
        <v>90572.704525271227</v>
      </c>
      <c r="N66" s="6">
        <f>SUMPRODUCT(P86:P94,S86:S94)/SUM(S86:S94)*1000</f>
        <v>82434.234591216227</v>
      </c>
      <c r="O66" s="6" t="e">
        <f>SUMPRODUCT(P99:P107,T99:T107)/SUM(T99:T107)*1000</f>
        <v>#DIV/0!</v>
      </c>
      <c r="Q66" s="109"/>
      <c r="R66" s="38" t="s">
        <v>273</v>
      </c>
      <c r="S66" s="38"/>
      <c r="T66" s="38"/>
      <c r="U66" s="38"/>
      <c r="V66" s="38"/>
      <c r="W66" s="39"/>
    </row>
    <row r="67" spans="2:23" x14ac:dyDescent="0.25">
      <c r="B67" s="126"/>
      <c r="C67" s="9">
        <f>C66*C10</f>
        <v>1.0733429029957207</v>
      </c>
      <c r="D67" t="s">
        <v>7</v>
      </c>
      <c r="J67" s="22"/>
      <c r="L67" s="93" t="s">
        <v>285</v>
      </c>
      <c r="M67" s="148" t="e">
        <f>1/(2*SQRT(V82/U82))</f>
        <v>#DIV/0!</v>
      </c>
      <c r="N67" s="9" t="e">
        <f>1/(2*SQRT(V95/U95))</f>
        <v>#DIV/0!</v>
      </c>
      <c r="O67" s="9" t="e">
        <f>1/(2*SQRT(V108/U108))</f>
        <v>#DIV/0!</v>
      </c>
      <c r="Q67" s="21"/>
      <c r="R67" s="106" t="s">
        <v>264</v>
      </c>
      <c r="S67" s="105" t="s">
        <v>158</v>
      </c>
      <c r="T67" s="105" t="s">
        <v>161</v>
      </c>
      <c r="U67" s="105" t="s">
        <v>164</v>
      </c>
      <c r="V67" s="105" t="s">
        <v>165</v>
      </c>
      <c r="W67" s="107" t="s">
        <v>265</v>
      </c>
    </row>
    <row r="68" spans="2:23" ht="15.75" thickBot="1" x14ac:dyDescent="0.3">
      <c r="B68" s="21"/>
      <c r="J68" s="22"/>
      <c r="L68" s="21"/>
      <c r="N68" s="6"/>
      <c r="Q68" s="108" t="s">
        <v>267</v>
      </c>
      <c r="R68" s="36">
        <f>R64</f>
        <v>10.5</v>
      </c>
      <c r="S68" s="36">
        <f>IF(R68&lt;=Loads!$M$45, Loads!$R$37*LN(Loads!$M$45/Loads!$M$44),  Loads!$R$37*LN(R68/Loads!$M$44))</f>
        <v>1.015950430836319</v>
      </c>
      <c r="T68" s="36">
        <f>S68*Loads!$M$48*Loads!$R$38</f>
        <v>25.398760770907973</v>
      </c>
      <c r="U68" s="36">
        <f>IF(R68&lt;Loads!$M$45, Loads!$M$49/(Loads!$M$48*LN(Loads!$M$45/Loads!$M$44)),Loads!$M$49/(Loads!$M$48*LN(R68/Loads!$M$44)))</f>
        <v>0.18701699830334648</v>
      </c>
      <c r="V68" s="36">
        <f>(1+7*U68)*0.5*Loads!$M$37*T68^2 / 1000</f>
        <v>0.93100365270656504</v>
      </c>
      <c r="W68" s="37">
        <f>V68*Loads!$R$46</f>
        <v>-0.34135248926486211</v>
      </c>
    </row>
    <row r="69" spans="2:23" x14ac:dyDescent="0.25">
      <c r="B69" s="21" t="s">
        <v>29</v>
      </c>
      <c r="C69" s="5">
        <f>IF(AND(T&lt;MIN(2*TC, 1.2),C8 &gt; 2), 0.85, 1)</f>
        <v>0.85</v>
      </c>
      <c r="J69" s="22"/>
      <c r="L69" s="21"/>
      <c r="N69" s="9"/>
      <c r="W69" s="22"/>
    </row>
    <row r="70" spans="2:23" ht="15.75" thickBot="1" x14ac:dyDescent="0.3">
      <c r="B70" s="25" t="s">
        <v>28</v>
      </c>
      <c r="C70" s="43">
        <f>C69*C66*F49</f>
        <v>295.29731169757497</v>
      </c>
      <c r="D70" s="27" t="s">
        <v>31</v>
      </c>
      <c r="E70" s="27"/>
      <c r="F70" s="27"/>
      <c r="G70" s="27"/>
      <c r="H70" s="27"/>
      <c r="I70" s="27"/>
      <c r="J70" s="28"/>
      <c r="L70" s="21"/>
      <c r="W70" s="22"/>
    </row>
    <row r="71" spans="2:23" x14ac:dyDescent="0.25">
      <c r="L71" s="135" t="s">
        <v>299</v>
      </c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22"/>
    </row>
    <row r="72" spans="2:23" x14ac:dyDescent="0.25">
      <c r="L72" s="24" t="s">
        <v>3</v>
      </c>
      <c r="M72" s="2" t="s">
        <v>300</v>
      </c>
      <c r="N72" s="2" t="s">
        <v>35</v>
      </c>
      <c r="O72" s="2" t="s">
        <v>201</v>
      </c>
      <c r="P72" s="2" t="s">
        <v>202</v>
      </c>
      <c r="Q72" s="2" t="s">
        <v>37</v>
      </c>
      <c r="R72" s="2" t="s">
        <v>74</v>
      </c>
      <c r="S72" s="2" t="s">
        <v>203</v>
      </c>
      <c r="T72" s="2" t="s">
        <v>197</v>
      </c>
      <c r="U72" s="2" t="s">
        <v>39</v>
      </c>
      <c r="V72" s="2" t="s">
        <v>40</v>
      </c>
      <c r="W72" s="22"/>
    </row>
    <row r="73" spans="2:23" x14ac:dyDescent="0.25">
      <c r="L73" s="21">
        <v>1</v>
      </c>
      <c r="M73" s="5">
        <f>IF(C24&lt;&gt;"", $C$3*$C$7*I24, "")</f>
        <v>1842.75</v>
      </c>
      <c r="N73" s="6">
        <f t="shared" ref="N73:N81" si="24">IF(C24&lt;&gt;"", M73/$C$10, "")</f>
        <v>187.8440366972477</v>
      </c>
      <c r="O73" s="5">
        <f t="shared" ref="O73:O80" si="25">IF(C24&lt;&gt;"", (F24+F25)/2, "")</f>
        <v>3.5</v>
      </c>
      <c r="P73" s="6">
        <f t="shared" ref="P73:P81" si="26">IF(C24&lt;&gt;"", N73/O73, "")</f>
        <v>53.669724770642198</v>
      </c>
      <c r="Q73" s="189"/>
      <c r="R73" s="111">
        <v>0.33300000000000002</v>
      </c>
      <c r="S73" s="5">
        <f t="shared" ref="S73:S81" si="27">IF(C24&lt;&gt;"", R73^2, "")</f>
        <v>0.11088900000000002</v>
      </c>
      <c r="T73" s="129">
        <f>IF(C24&lt;&gt;"", Q73^2, "")</f>
        <v>0</v>
      </c>
      <c r="U73" s="6">
        <f t="shared" ref="U73:U81" si="28">IF(C24&lt;&gt;"", N73*Q73, "")</f>
        <v>0</v>
      </c>
      <c r="V73" s="6">
        <f>IF(C24&lt;&gt;"", N73*Q73^2, "")</f>
        <v>0</v>
      </c>
      <c r="W73" s="22"/>
    </row>
    <row r="74" spans="2:23" x14ac:dyDescent="0.25">
      <c r="L74" s="21">
        <v>2</v>
      </c>
      <c r="M74" s="5">
        <f t="shared" ref="M74:M81" si="29">IF(C25&lt;&gt;"", $C$3*$C$7*I25, "")</f>
        <v>1842.75</v>
      </c>
      <c r="N74" s="6">
        <f t="shared" si="24"/>
        <v>187.8440366972477</v>
      </c>
      <c r="O74" s="5">
        <f t="shared" si="25"/>
        <v>3.5</v>
      </c>
      <c r="P74" s="6">
        <f t="shared" si="26"/>
        <v>53.669724770642198</v>
      </c>
      <c r="Q74" s="189"/>
      <c r="R74" s="111">
        <v>0.66700000000000004</v>
      </c>
      <c r="S74" s="5">
        <f t="shared" si="27"/>
        <v>0.44488900000000003</v>
      </c>
      <c r="T74" s="129">
        <f t="shared" ref="T74:T81" si="30">IF(C25&lt;&gt;"", Q74^2, "")</f>
        <v>0</v>
      </c>
      <c r="U74" s="6">
        <f t="shared" si="28"/>
        <v>0</v>
      </c>
      <c r="V74" s="6">
        <f t="shared" ref="V74:V81" si="31">IF(C25&lt;&gt;"", N74*Q74^2, "")</f>
        <v>0</v>
      </c>
      <c r="W74" s="22"/>
    </row>
    <row r="75" spans="2:23" x14ac:dyDescent="0.25">
      <c r="L75" s="21">
        <v>3</v>
      </c>
      <c r="M75" s="5">
        <f t="shared" si="29"/>
        <v>1907.01</v>
      </c>
      <c r="N75" s="6">
        <f t="shared" si="24"/>
        <v>194.39449541284404</v>
      </c>
      <c r="O75" s="5">
        <f t="shared" si="25"/>
        <v>1.75</v>
      </c>
      <c r="P75" s="6">
        <f t="shared" si="26"/>
        <v>111.08256880733946</v>
      </c>
      <c r="Q75" s="189"/>
      <c r="R75" s="111">
        <v>1</v>
      </c>
      <c r="S75" s="5">
        <f t="shared" si="27"/>
        <v>1</v>
      </c>
      <c r="T75" s="129">
        <f t="shared" si="30"/>
        <v>0</v>
      </c>
      <c r="U75" s="6">
        <f t="shared" si="28"/>
        <v>0</v>
      </c>
      <c r="V75" s="6">
        <f t="shared" si="31"/>
        <v>0</v>
      </c>
      <c r="W75" s="22"/>
    </row>
    <row r="76" spans="2:23" x14ac:dyDescent="0.25">
      <c r="L76" s="21">
        <v>4</v>
      </c>
      <c r="M76" s="5" t="str">
        <f t="shared" si="29"/>
        <v/>
      </c>
      <c r="N76" s="6" t="str">
        <f t="shared" si="24"/>
        <v/>
      </c>
      <c r="O76" s="5" t="str">
        <f t="shared" si="25"/>
        <v/>
      </c>
      <c r="P76" s="6" t="str">
        <f t="shared" si="26"/>
        <v/>
      </c>
      <c r="Q76" s="104"/>
      <c r="R76" s="111"/>
      <c r="S76" s="5" t="str">
        <f t="shared" si="27"/>
        <v/>
      </c>
      <c r="T76" s="129" t="str">
        <f t="shared" si="30"/>
        <v/>
      </c>
      <c r="U76" s="6" t="str">
        <f t="shared" si="28"/>
        <v/>
      </c>
      <c r="V76" s="6" t="str">
        <f t="shared" si="31"/>
        <v/>
      </c>
      <c r="W76" s="22"/>
    </row>
    <row r="77" spans="2:23" x14ac:dyDescent="0.25">
      <c r="L77" s="21">
        <v>5</v>
      </c>
      <c r="M77" s="5" t="str">
        <f t="shared" si="29"/>
        <v/>
      </c>
      <c r="N77" s="6" t="str">
        <f t="shared" si="24"/>
        <v/>
      </c>
      <c r="O77" s="5" t="str">
        <f t="shared" si="25"/>
        <v/>
      </c>
      <c r="P77" s="6" t="str">
        <f t="shared" si="26"/>
        <v/>
      </c>
      <c r="Q77" s="104"/>
      <c r="R77" s="111"/>
      <c r="S77" s="5" t="str">
        <f t="shared" si="27"/>
        <v/>
      </c>
      <c r="T77" s="129" t="str">
        <f t="shared" si="30"/>
        <v/>
      </c>
      <c r="U77" s="6" t="str">
        <f t="shared" si="28"/>
        <v/>
      </c>
      <c r="V77" s="6" t="str">
        <f t="shared" si="31"/>
        <v/>
      </c>
      <c r="W77" s="22"/>
    </row>
    <row r="78" spans="2:23" x14ac:dyDescent="0.25">
      <c r="L78" s="21">
        <v>6</v>
      </c>
      <c r="M78" s="5" t="str">
        <f t="shared" si="29"/>
        <v/>
      </c>
      <c r="N78" s="6" t="str">
        <f t="shared" si="24"/>
        <v/>
      </c>
      <c r="O78" s="5" t="str">
        <f t="shared" si="25"/>
        <v/>
      </c>
      <c r="P78" s="6" t="str">
        <f t="shared" si="26"/>
        <v/>
      </c>
      <c r="Q78" s="104"/>
      <c r="R78" s="111"/>
      <c r="S78" s="5" t="str">
        <f t="shared" si="27"/>
        <v/>
      </c>
      <c r="T78" s="129" t="str">
        <f t="shared" si="30"/>
        <v/>
      </c>
      <c r="U78" s="6" t="str">
        <f t="shared" si="28"/>
        <v/>
      </c>
      <c r="V78" s="6" t="str">
        <f t="shared" si="31"/>
        <v/>
      </c>
      <c r="W78" s="22"/>
    </row>
    <row r="79" spans="2:23" x14ac:dyDescent="0.25">
      <c r="L79" s="21">
        <v>7</v>
      </c>
      <c r="M79" s="5" t="str">
        <f t="shared" si="29"/>
        <v/>
      </c>
      <c r="N79" s="6" t="str">
        <f t="shared" si="24"/>
        <v/>
      </c>
      <c r="O79" s="5" t="str">
        <f t="shared" si="25"/>
        <v/>
      </c>
      <c r="P79" s="6" t="str">
        <f t="shared" si="26"/>
        <v/>
      </c>
      <c r="Q79" s="104"/>
      <c r="R79" s="104"/>
      <c r="S79" s="5" t="str">
        <f t="shared" si="27"/>
        <v/>
      </c>
      <c r="T79" s="129" t="str">
        <f t="shared" si="30"/>
        <v/>
      </c>
      <c r="U79" s="6" t="str">
        <f t="shared" si="28"/>
        <v/>
      </c>
      <c r="V79" s="6" t="str">
        <f t="shared" si="31"/>
        <v/>
      </c>
      <c r="W79" s="22"/>
    </row>
    <row r="80" spans="2:23" x14ac:dyDescent="0.25">
      <c r="L80" s="21">
        <v>8</v>
      </c>
      <c r="M80" s="5" t="str">
        <f t="shared" si="29"/>
        <v/>
      </c>
      <c r="N80" s="6" t="str">
        <f t="shared" si="24"/>
        <v/>
      </c>
      <c r="O80" s="5" t="str">
        <f t="shared" si="25"/>
        <v/>
      </c>
      <c r="P80" s="6" t="str">
        <f t="shared" si="26"/>
        <v/>
      </c>
      <c r="Q80" s="104"/>
      <c r="R80" s="104"/>
      <c r="S80" s="5" t="str">
        <f t="shared" si="27"/>
        <v/>
      </c>
      <c r="T80" s="129" t="str">
        <f t="shared" si="30"/>
        <v/>
      </c>
      <c r="U80" s="6" t="str">
        <f t="shared" si="28"/>
        <v/>
      </c>
      <c r="V80" s="6" t="str">
        <f t="shared" si="31"/>
        <v/>
      </c>
      <c r="W80" s="22"/>
    </row>
    <row r="81" spans="12:23" x14ac:dyDescent="0.25">
      <c r="L81" s="21">
        <v>9</v>
      </c>
      <c r="M81" s="5" t="str">
        <f t="shared" si="29"/>
        <v/>
      </c>
      <c r="N81" s="6" t="str">
        <f t="shared" si="24"/>
        <v/>
      </c>
      <c r="O81" s="5" t="str">
        <f>IF(C32&lt;&gt;"", (F32+F34)/2, "")</f>
        <v/>
      </c>
      <c r="P81" s="6" t="str">
        <f t="shared" si="26"/>
        <v/>
      </c>
      <c r="Q81" s="104"/>
      <c r="R81" s="104"/>
      <c r="S81" s="5" t="str">
        <f t="shared" si="27"/>
        <v/>
      </c>
      <c r="T81" s="129" t="str">
        <f t="shared" si="30"/>
        <v/>
      </c>
      <c r="U81" s="6" t="str">
        <f t="shared" si="28"/>
        <v/>
      </c>
      <c r="V81" s="6" t="str">
        <f t="shared" si="31"/>
        <v/>
      </c>
      <c r="W81" s="22"/>
    </row>
    <row r="82" spans="12:23" x14ac:dyDescent="0.25">
      <c r="L82" s="121"/>
      <c r="M82" s="118"/>
      <c r="N82" s="118"/>
      <c r="O82" s="118"/>
      <c r="P82" s="118"/>
      <c r="Q82" s="122"/>
      <c r="R82" s="118"/>
      <c r="S82" s="118"/>
      <c r="T82" s="118"/>
      <c r="U82" s="7">
        <f>SUM(U73:U81)</f>
        <v>0</v>
      </c>
      <c r="V82" s="7">
        <f>SUM(V73:V81)</f>
        <v>0</v>
      </c>
      <c r="W82" s="22"/>
    </row>
    <row r="83" spans="12:23" x14ac:dyDescent="0.25">
      <c r="L83" s="21"/>
      <c r="Q83" s="6"/>
      <c r="W83" s="22"/>
    </row>
    <row r="84" spans="12:23" x14ac:dyDescent="0.25">
      <c r="L84" s="135" t="s">
        <v>312</v>
      </c>
      <c r="M84" s="113"/>
      <c r="N84" s="113"/>
      <c r="O84" s="113"/>
      <c r="P84" s="113"/>
      <c r="Q84" s="136"/>
      <c r="R84" s="113"/>
      <c r="S84" s="113"/>
      <c r="T84" s="113"/>
      <c r="U84" s="113"/>
      <c r="V84" s="113"/>
      <c r="W84" s="22"/>
    </row>
    <row r="85" spans="12:23" x14ac:dyDescent="0.25">
      <c r="L85" s="24" t="s">
        <v>3</v>
      </c>
      <c r="M85" s="2" t="s">
        <v>300</v>
      </c>
      <c r="N85" s="2" t="s">
        <v>35</v>
      </c>
      <c r="O85" s="2" t="s">
        <v>201</v>
      </c>
      <c r="P85" s="2" t="s">
        <v>202</v>
      </c>
      <c r="Q85" s="2" t="s">
        <v>37</v>
      </c>
      <c r="R85" s="2" t="s">
        <v>74</v>
      </c>
      <c r="S85" s="2" t="s">
        <v>203</v>
      </c>
      <c r="T85" s="2" t="s">
        <v>197</v>
      </c>
      <c r="U85" s="2" t="s">
        <v>39</v>
      </c>
      <c r="V85" s="2" t="s">
        <v>40</v>
      </c>
      <c r="W85" s="22"/>
    </row>
    <row r="86" spans="12:23" x14ac:dyDescent="0.25">
      <c r="L86" s="21">
        <v>1</v>
      </c>
      <c r="M86" s="5">
        <f t="shared" ref="M86:M94" si="32">IF(C24&lt;&gt;"", $C$3*$C$7*J24, "")</f>
        <v>1672.6499999999999</v>
      </c>
      <c r="N86" s="6">
        <f t="shared" ref="N86:N94" si="33">IF(C24&lt;&gt;"", M86/$C$10, "")</f>
        <v>170.50458715596329</v>
      </c>
      <c r="O86" s="5">
        <f t="shared" ref="O86:O94" si="34">IF(C24&lt;&gt;"", O73,"")</f>
        <v>3.5</v>
      </c>
      <c r="P86" s="6">
        <f t="shared" ref="P86:P94" si="35">IF(C24&lt;&gt;"", N86/O86, "")</f>
        <v>48.715596330275226</v>
      </c>
      <c r="Q86" s="189"/>
      <c r="R86" s="111">
        <v>0.33300000000000002</v>
      </c>
      <c r="S86" s="5">
        <f t="shared" ref="S86:S94" si="36">IF(C24&lt;&gt;"", R86^2, "")</f>
        <v>0.11088900000000002</v>
      </c>
      <c r="T86" s="129">
        <f t="shared" ref="T86:T94" si="37">IF(C24&lt;&gt;"", Q86^2, "")</f>
        <v>0</v>
      </c>
      <c r="U86" s="6">
        <f t="shared" ref="U86:U94" si="38">IF(C24&lt;&gt;"", N86*Q86, "")</f>
        <v>0</v>
      </c>
      <c r="V86" s="6">
        <f t="shared" ref="V86:V94" si="39">IF(C24&lt;&gt;"", N86*Q86^2, "")</f>
        <v>0</v>
      </c>
      <c r="W86" s="22"/>
    </row>
    <row r="87" spans="12:23" x14ac:dyDescent="0.25">
      <c r="L87" s="21">
        <v>2</v>
      </c>
      <c r="M87" s="5">
        <f t="shared" si="32"/>
        <v>1672.6499999999999</v>
      </c>
      <c r="N87" s="6">
        <f t="shared" si="33"/>
        <v>170.50458715596329</v>
      </c>
      <c r="O87" s="5">
        <f t="shared" si="34"/>
        <v>3.5</v>
      </c>
      <c r="P87" s="6">
        <f t="shared" si="35"/>
        <v>48.715596330275226</v>
      </c>
      <c r="Q87" s="189"/>
      <c r="R87" s="111">
        <v>0.66700000000000004</v>
      </c>
      <c r="S87" s="5">
        <f t="shared" si="36"/>
        <v>0.44488900000000003</v>
      </c>
      <c r="T87" s="129">
        <f t="shared" si="37"/>
        <v>0</v>
      </c>
      <c r="U87" s="6">
        <f t="shared" si="38"/>
        <v>0</v>
      </c>
      <c r="V87" s="6">
        <f t="shared" si="39"/>
        <v>0</v>
      </c>
      <c r="W87" s="22"/>
    </row>
    <row r="88" spans="12:23" x14ac:dyDescent="0.25">
      <c r="L88" s="21">
        <v>3</v>
      </c>
      <c r="M88" s="5">
        <f t="shared" si="32"/>
        <v>1736.9099999999999</v>
      </c>
      <c r="N88" s="6">
        <f t="shared" si="33"/>
        <v>177.0550458715596</v>
      </c>
      <c r="O88" s="5">
        <f t="shared" si="34"/>
        <v>1.75</v>
      </c>
      <c r="P88" s="6">
        <f t="shared" si="35"/>
        <v>101.17431192660548</v>
      </c>
      <c r="Q88" s="189"/>
      <c r="R88" s="111">
        <v>1</v>
      </c>
      <c r="S88" s="5">
        <f t="shared" si="36"/>
        <v>1</v>
      </c>
      <c r="T88" s="129">
        <f t="shared" si="37"/>
        <v>0</v>
      </c>
      <c r="U88" s="6">
        <f t="shared" si="38"/>
        <v>0</v>
      </c>
      <c r="V88" s="6">
        <f t="shared" si="39"/>
        <v>0</v>
      </c>
      <c r="W88" s="22"/>
    </row>
    <row r="89" spans="12:23" x14ac:dyDescent="0.25">
      <c r="L89" s="21">
        <v>4</v>
      </c>
      <c r="M89" s="5" t="str">
        <f t="shared" si="32"/>
        <v/>
      </c>
      <c r="N89" s="6" t="str">
        <f t="shared" si="33"/>
        <v/>
      </c>
      <c r="O89" s="5" t="str">
        <f t="shared" si="34"/>
        <v/>
      </c>
      <c r="P89" s="6" t="str">
        <f t="shared" si="35"/>
        <v/>
      </c>
      <c r="Q89" s="104"/>
      <c r="R89" s="111"/>
      <c r="S89" s="5" t="str">
        <f t="shared" si="36"/>
        <v/>
      </c>
      <c r="T89" s="129" t="str">
        <f t="shared" si="37"/>
        <v/>
      </c>
      <c r="U89" s="6" t="str">
        <f t="shared" si="38"/>
        <v/>
      </c>
      <c r="V89" s="6" t="str">
        <f t="shared" si="39"/>
        <v/>
      </c>
      <c r="W89" s="22"/>
    </row>
    <row r="90" spans="12:23" x14ac:dyDescent="0.25">
      <c r="L90" s="21">
        <v>5</v>
      </c>
      <c r="M90" s="5" t="str">
        <f t="shared" si="32"/>
        <v/>
      </c>
      <c r="N90" s="6" t="str">
        <f t="shared" si="33"/>
        <v/>
      </c>
      <c r="O90" s="5" t="str">
        <f t="shared" si="34"/>
        <v/>
      </c>
      <c r="P90" s="6" t="str">
        <f t="shared" si="35"/>
        <v/>
      </c>
      <c r="Q90" s="104"/>
      <c r="R90" s="111"/>
      <c r="S90" s="5" t="str">
        <f t="shared" si="36"/>
        <v/>
      </c>
      <c r="T90" s="129" t="str">
        <f t="shared" si="37"/>
        <v/>
      </c>
      <c r="U90" s="6" t="str">
        <f t="shared" si="38"/>
        <v/>
      </c>
      <c r="V90" s="6" t="str">
        <f t="shared" si="39"/>
        <v/>
      </c>
      <c r="W90" s="22"/>
    </row>
    <row r="91" spans="12:23" x14ac:dyDescent="0.25">
      <c r="L91" s="21">
        <v>6</v>
      </c>
      <c r="M91" s="5" t="str">
        <f t="shared" si="32"/>
        <v/>
      </c>
      <c r="N91" s="6" t="str">
        <f t="shared" si="33"/>
        <v/>
      </c>
      <c r="O91" s="5" t="str">
        <f t="shared" si="34"/>
        <v/>
      </c>
      <c r="P91" s="6" t="str">
        <f t="shared" si="35"/>
        <v/>
      </c>
      <c r="Q91" s="104"/>
      <c r="R91" s="111"/>
      <c r="S91" s="5" t="str">
        <f t="shared" si="36"/>
        <v/>
      </c>
      <c r="T91" s="129" t="str">
        <f t="shared" si="37"/>
        <v/>
      </c>
      <c r="U91" s="6" t="str">
        <f t="shared" si="38"/>
        <v/>
      </c>
      <c r="V91" s="6" t="str">
        <f t="shared" si="39"/>
        <v/>
      </c>
      <c r="W91" s="22"/>
    </row>
    <row r="92" spans="12:23" x14ac:dyDescent="0.25">
      <c r="L92" s="21">
        <v>7</v>
      </c>
      <c r="M92" s="5" t="str">
        <f t="shared" si="32"/>
        <v/>
      </c>
      <c r="N92" s="6" t="str">
        <f t="shared" si="33"/>
        <v/>
      </c>
      <c r="O92" s="5" t="str">
        <f t="shared" si="34"/>
        <v/>
      </c>
      <c r="P92" s="6" t="str">
        <f t="shared" si="35"/>
        <v/>
      </c>
      <c r="Q92" s="104"/>
      <c r="R92" s="104"/>
      <c r="S92" s="5" t="str">
        <f t="shared" si="36"/>
        <v/>
      </c>
      <c r="T92" s="129" t="str">
        <f t="shared" si="37"/>
        <v/>
      </c>
      <c r="U92" s="6" t="str">
        <f t="shared" si="38"/>
        <v/>
      </c>
      <c r="V92" s="6" t="str">
        <f t="shared" si="39"/>
        <v/>
      </c>
      <c r="W92" s="22"/>
    </row>
    <row r="93" spans="12:23" x14ac:dyDescent="0.25">
      <c r="L93" s="21">
        <v>8</v>
      </c>
      <c r="M93" s="5" t="str">
        <f t="shared" si="32"/>
        <v/>
      </c>
      <c r="N93" s="6" t="str">
        <f t="shared" si="33"/>
        <v/>
      </c>
      <c r="O93" s="5" t="str">
        <f t="shared" si="34"/>
        <v/>
      </c>
      <c r="P93" s="6" t="str">
        <f t="shared" si="35"/>
        <v/>
      </c>
      <c r="Q93" s="104"/>
      <c r="R93" s="104"/>
      <c r="S93" s="5" t="str">
        <f t="shared" si="36"/>
        <v/>
      </c>
      <c r="T93" s="129" t="str">
        <f t="shared" si="37"/>
        <v/>
      </c>
      <c r="U93" s="6" t="str">
        <f t="shared" si="38"/>
        <v/>
      </c>
      <c r="V93" s="6" t="str">
        <f t="shared" si="39"/>
        <v/>
      </c>
      <c r="W93" s="22"/>
    </row>
    <row r="94" spans="12:23" x14ac:dyDescent="0.25">
      <c r="L94" s="21">
        <v>9</v>
      </c>
      <c r="M94" s="5" t="str">
        <f t="shared" si="32"/>
        <v/>
      </c>
      <c r="N94" s="6" t="str">
        <f t="shared" si="33"/>
        <v/>
      </c>
      <c r="O94" s="5" t="str">
        <f t="shared" si="34"/>
        <v/>
      </c>
      <c r="P94" s="6" t="str">
        <f t="shared" si="35"/>
        <v/>
      </c>
      <c r="Q94" s="104"/>
      <c r="R94" s="104"/>
      <c r="S94" s="5" t="str">
        <f t="shared" si="36"/>
        <v/>
      </c>
      <c r="T94" s="129" t="str">
        <f t="shared" si="37"/>
        <v/>
      </c>
      <c r="U94" s="6" t="str">
        <f t="shared" si="38"/>
        <v/>
      </c>
      <c r="V94" s="6" t="str">
        <f t="shared" si="39"/>
        <v/>
      </c>
      <c r="W94" s="22"/>
    </row>
    <row r="95" spans="12:23" x14ac:dyDescent="0.25">
      <c r="L95" s="121"/>
      <c r="M95" s="118"/>
      <c r="N95" s="118"/>
      <c r="O95" s="118"/>
      <c r="P95" s="118"/>
      <c r="Q95" s="118"/>
      <c r="R95" s="118"/>
      <c r="S95" s="118"/>
      <c r="T95" s="118"/>
      <c r="U95" s="7">
        <f>SUM(U86:U94)</f>
        <v>0</v>
      </c>
      <c r="V95" s="7">
        <f>SUM(V86:V94)</f>
        <v>0</v>
      </c>
      <c r="W95" s="22"/>
    </row>
    <row r="96" spans="12:23" x14ac:dyDescent="0.25">
      <c r="L96" s="21"/>
      <c r="W96" s="22"/>
    </row>
    <row r="97" spans="12:23" x14ac:dyDescent="0.25">
      <c r="L97" s="135" t="s">
        <v>311</v>
      </c>
      <c r="M97" s="113"/>
      <c r="N97" s="113"/>
      <c r="O97" s="113"/>
      <c r="P97" s="113"/>
      <c r="Q97" s="136"/>
      <c r="R97" s="113"/>
      <c r="S97" s="113"/>
      <c r="T97" s="113"/>
      <c r="U97" s="113"/>
      <c r="V97" s="113"/>
      <c r="W97" s="22"/>
    </row>
    <row r="98" spans="12:23" x14ac:dyDescent="0.25">
      <c r="L98" s="24" t="s">
        <v>3</v>
      </c>
      <c r="M98" s="2" t="s">
        <v>300</v>
      </c>
      <c r="N98" s="2" t="s">
        <v>35</v>
      </c>
      <c r="O98" s="2" t="s">
        <v>201</v>
      </c>
      <c r="P98" s="2" t="s">
        <v>202</v>
      </c>
      <c r="Q98" s="2" t="s">
        <v>37</v>
      </c>
      <c r="R98" s="2" t="s">
        <v>74</v>
      </c>
      <c r="S98" s="2" t="s">
        <v>203</v>
      </c>
      <c r="T98" s="2" t="s">
        <v>197</v>
      </c>
      <c r="U98" s="2" t="s">
        <v>39</v>
      </c>
      <c r="V98" s="2" t="s">
        <v>40</v>
      </c>
      <c r="W98" s="22"/>
    </row>
    <row r="99" spans="12:23" x14ac:dyDescent="0.25">
      <c r="L99" s="21">
        <v>1</v>
      </c>
      <c r="M99" s="5">
        <f>IF(C24&lt;&gt;"", $C$3*$C$7*K24, "")</f>
        <v>1672.6499999999999</v>
      </c>
      <c r="N99" s="6">
        <f t="shared" ref="N99:N107" si="40">IF(C24&lt;&gt;"", M99/$C$10, "")</f>
        <v>170.50458715596329</v>
      </c>
      <c r="O99" s="5">
        <f t="shared" ref="O99:O107" si="41">IF(C24&lt;&gt;"", O86,"")</f>
        <v>3.5</v>
      </c>
      <c r="P99" s="6">
        <f t="shared" ref="P99:P107" si="42">IF(C24&lt;&gt;"", N99/O99, "")</f>
        <v>48.715596330275226</v>
      </c>
      <c r="Q99" s="189"/>
      <c r="R99" s="111">
        <v>0.33300000000000002</v>
      </c>
      <c r="S99" s="5">
        <f t="shared" ref="S99:S107" si="43">IF(C24&lt;&gt;"", R99^2, "")</f>
        <v>0.11088900000000002</v>
      </c>
      <c r="T99" s="129">
        <f t="shared" ref="T99:T107" si="44">IF(C24&lt;&gt;"", Q99^2, "")</f>
        <v>0</v>
      </c>
      <c r="U99" s="6">
        <f t="shared" ref="U99:U107" si="45">IF(C24&lt;&gt;"", N99*Q99, "")</f>
        <v>0</v>
      </c>
      <c r="V99" s="6">
        <f t="shared" ref="V99:V107" si="46">IF(C24&lt;&gt;"", N99*Q99^2, "")</f>
        <v>0</v>
      </c>
      <c r="W99" s="22"/>
    </row>
    <row r="100" spans="12:23" x14ac:dyDescent="0.25">
      <c r="L100" s="21">
        <v>2</v>
      </c>
      <c r="M100" s="5">
        <f t="shared" ref="M100:M107" si="47">IF(C25&lt;&gt;"", $C$3*$C$7*K25, "")</f>
        <v>1672.6499999999999</v>
      </c>
      <c r="N100" s="6">
        <f t="shared" si="40"/>
        <v>170.50458715596329</v>
      </c>
      <c r="O100" s="5">
        <f t="shared" si="41"/>
        <v>3.5</v>
      </c>
      <c r="P100" s="6">
        <f t="shared" si="42"/>
        <v>48.715596330275226</v>
      </c>
      <c r="Q100" s="189"/>
      <c r="R100" s="111">
        <v>0.66700000000000004</v>
      </c>
      <c r="S100" s="5">
        <f t="shared" si="43"/>
        <v>0.44488900000000003</v>
      </c>
      <c r="T100" s="129">
        <f t="shared" si="44"/>
        <v>0</v>
      </c>
      <c r="U100" s="6">
        <f t="shared" si="45"/>
        <v>0</v>
      </c>
      <c r="V100" s="6">
        <f t="shared" si="46"/>
        <v>0</v>
      </c>
      <c r="W100" s="22"/>
    </row>
    <row r="101" spans="12:23" x14ac:dyDescent="0.25">
      <c r="L101" s="21">
        <v>3</v>
      </c>
      <c r="M101" s="5">
        <f t="shared" si="47"/>
        <v>1801.1699999999998</v>
      </c>
      <c r="N101" s="6">
        <f t="shared" si="40"/>
        <v>183.60550458715593</v>
      </c>
      <c r="O101" s="5">
        <f t="shared" si="41"/>
        <v>1.75</v>
      </c>
      <c r="P101" s="6">
        <f t="shared" si="42"/>
        <v>104.91743119266053</v>
      </c>
      <c r="Q101" s="189"/>
      <c r="R101" s="111">
        <v>1</v>
      </c>
      <c r="S101" s="5">
        <f t="shared" si="43"/>
        <v>1</v>
      </c>
      <c r="T101" s="129">
        <f t="shared" si="44"/>
        <v>0</v>
      </c>
      <c r="U101" s="6">
        <f t="shared" si="45"/>
        <v>0</v>
      </c>
      <c r="V101" s="6">
        <f t="shared" si="46"/>
        <v>0</v>
      </c>
      <c r="W101" s="22"/>
    </row>
    <row r="102" spans="12:23" x14ac:dyDescent="0.25">
      <c r="L102" s="21">
        <v>4</v>
      </c>
      <c r="M102" s="5" t="str">
        <f t="shared" si="47"/>
        <v/>
      </c>
      <c r="N102" s="6" t="str">
        <f t="shared" si="40"/>
        <v/>
      </c>
      <c r="O102" s="5" t="str">
        <f t="shared" si="41"/>
        <v/>
      </c>
      <c r="P102" s="6" t="str">
        <f t="shared" si="42"/>
        <v/>
      </c>
      <c r="Q102" s="104"/>
      <c r="R102" s="111"/>
      <c r="S102" s="5" t="str">
        <f t="shared" si="43"/>
        <v/>
      </c>
      <c r="T102" s="129" t="str">
        <f t="shared" si="44"/>
        <v/>
      </c>
      <c r="U102" s="6" t="str">
        <f t="shared" si="45"/>
        <v/>
      </c>
      <c r="V102" s="6" t="str">
        <f t="shared" si="46"/>
        <v/>
      </c>
      <c r="W102" s="22"/>
    </row>
    <row r="103" spans="12:23" x14ac:dyDescent="0.25">
      <c r="L103" s="21">
        <v>5</v>
      </c>
      <c r="M103" s="5" t="str">
        <f t="shared" si="47"/>
        <v/>
      </c>
      <c r="N103" s="6" t="str">
        <f t="shared" si="40"/>
        <v/>
      </c>
      <c r="O103" s="5" t="str">
        <f t="shared" si="41"/>
        <v/>
      </c>
      <c r="P103" s="6" t="str">
        <f t="shared" si="42"/>
        <v/>
      </c>
      <c r="Q103" s="104"/>
      <c r="R103" s="111"/>
      <c r="S103" s="5" t="str">
        <f t="shared" si="43"/>
        <v/>
      </c>
      <c r="T103" s="129" t="str">
        <f t="shared" si="44"/>
        <v/>
      </c>
      <c r="U103" s="6" t="str">
        <f t="shared" si="45"/>
        <v/>
      </c>
      <c r="V103" s="6" t="str">
        <f t="shared" si="46"/>
        <v/>
      </c>
      <c r="W103" s="22"/>
    </row>
    <row r="104" spans="12:23" x14ac:dyDescent="0.25">
      <c r="L104" s="21">
        <v>6</v>
      </c>
      <c r="M104" s="5" t="str">
        <f t="shared" si="47"/>
        <v/>
      </c>
      <c r="N104" s="6" t="str">
        <f t="shared" si="40"/>
        <v/>
      </c>
      <c r="O104" s="5" t="str">
        <f t="shared" si="41"/>
        <v/>
      </c>
      <c r="P104" s="6" t="str">
        <f t="shared" si="42"/>
        <v/>
      </c>
      <c r="Q104" s="104"/>
      <c r="R104" s="111"/>
      <c r="S104" s="5" t="str">
        <f t="shared" si="43"/>
        <v/>
      </c>
      <c r="T104" s="129" t="str">
        <f t="shared" si="44"/>
        <v/>
      </c>
      <c r="U104" s="6" t="str">
        <f t="shared" si="45"/>
        <v/>
      </c>
      <c r="V104" s="6" t="str">
        <f t="shared" si="46"/>
        <v/>
      </c>
      <c r="W104" s="22"/>
    </row>
    <row r="105" spans="12:23" x14ac:dyDescent="0.25">
      <c r="L105" s="21">
        <v>7</v>
      </c>
      <c r="M105" s="5" t="str">
        <f t="shared" si="47"/>
        <v/>
      </c>
      <c r="N105" s="6" t="str">
        <f t="shared" si="40"/>
        <v/>
      </c>
      <c r="O105" s="5" t="str">
        <f t="shared" si="41"/>
        <v/>
      </c>
      <c r="P105" s="6" t="str">
        <f t="shared" si="42"/>
        <v/>
      </c>
      <c r="Q105" s="104"/>
      <c r="R105" s="104"/>
      <c r="S105" s="5" t="str">
        <f t="shared" si="43"/>
        <v/>
      </c>
      <c r="T105" s="129" t="str">
        <f t="shared" si="44"/>
        <v/>
      </c>
      <c r="U105" s="6" t="str">
        <f t="shared" si="45"/>
        <v/>
      </c>
      <c r="V105" s="6" t="str">
        <f t="shared" si="46"/>
        <v/>
      </c>
      <c r="W105" s="22"/>
    </row>
    <row r="106" spans="12:23" x14ac:dyDescent="0.25">
      <c r="L106" s="21">
        <v>8</v>
      </c>
      <c r="M106" s="5" t="str">
        <f t="shared" si="47"/>
        <v/>
      </c>
      <c r="N106" s="6" t="str">
        <f t="shared" si="40"/>
        <v/>
      </c>
      <c r="O106" s="5" t="str">
        <f t="shared" si="41"/>
        <v/>
      </c>
      <c r="P106" s="6" t="str">
        <f t="shared" si="42"/>
        <v/>
      </c>
      <c r="Q106" s="104"/>
      <c r="R106" s="104"/>
      <c r="S106" s="5" t="str">
        <f t="shared" si="43"/>
        <v/>
      </c>
      <c r="T106" s="129" t="str">
        <f t="shared" si="44"/>
        <v/>
      </c>
      <c r="U106" s="6" t="str">
        <f t="shared" si="45"/>
        <v/>
      </c>
      <c r="V106" s="6" t="str">
        <f t="shared" si="46"/>
        <v/>
      </c>
      <c r="W106" s="22"/>
    </row>
    <row r="107" spans="12:23" x14ac:dyDescent="0.25">
      <c r="L107" s="21">
        <v>9</v>
      </c>
      <c r="M107" s="5" t="str">
        <f t="shared" si="47"/>
        <v/>
      </c>
      <c r="N107" s="6" t="str">
        <f t="shared" si="40"/>
        <v/>
      </c>
      <c r="O107" s="5" t="str">
        <f t="shared" si="41"/>
        <v/>
      </c>
      <c r="P107" s="6" t="str">
        <f t="shared" si="42"/>
        <v/>
      </c>
      <c r="Q107" s="104"/>
      <c r="R107" s="104"/>
      <c r="S107" s="5" t="str">
        <f t="shared" si="43"/>
        <v/>
      </c>
      <c r="T107" s="129" t="str">
        <f t="shared" si="44"/>
        <v/>
      </c>
      <c r="U107" s="6" t="str">
        <f t="shared" si="45"/>
        <v/>
      </c>
      <c r="V107" s="6" t="str">
        <f t="shared" si="46"/>
        <v/>
      </c>
      <c r="W107" s="22"/>
    </row>
    <row r="108" spans="12:23" x14ac:dyDescent="0.25">
      <c r="L108" s="121"/>
      <c r="M108" s="118"/>
      <c r="N108" s="118"/>
      <c r="O108" s="118"/>
      <c r="P108" s="118"/>
      <c r="Q108" s="118"/>
      <c r="R108" s="118"/>
      <c r="S108" s="118"/>
      <c r="T108" s="118"/>
      <c r="U108" s="7">
        <f>SUM(U99:U107)</f>
        <v>0</v>
      </c>
      <c r="V108" s="7">
        <f>SUM(V99:V107)</f>
        <v>0</v>
      </c>
      <c r="W108" s="22"/>
    </row>
    <row r="109" spans="12:23" x14ac:dyDescent="0.25">
      <c r="L109" s="134"/>
      <c r="M109" s="125"/>
      <c r="N109" s="125"/>
      <c r="O109" s="125"/>
      <c r="P109" s="125" t="s">
        <v>274</v>
      </c>
      <c r="Q109" s="125"/>
      <c r="R109" s="125"/>
      <c r="W109" s="22"/>
    </row>
    <row r="110" spans="12:23" x14ac:dyDescent="0.25">
      <c r="L110" s="24" t="s">
        <v>3</v>
      </c>
      <c r="M110" s="106" t="s">
        <v>270</v>
      </c>
      <c r="N110" s="130" t="s">
        <v>268</v>
      </c>
      <c r="O110" s="130" t="s">
        <v>269</v>
      </c>
      <c r="P110" s="131" t="s">
        <v>275</v>
      </c>
      <c r="Q110" s="131" t="s">
        <v>276</v>
      </c>
      <c r="R110" s="131" t="s">
        <v>277</v>
      </c>
      <c r="W110" s="22"/>
    </row>
    <row r="111" spans="12:23" x14ac:dyDescent="0.25">
      <c r="L111" s="21">
        <v>1</v>
      </c>
      <c r="M111" s="5">
        <f t="shared" ref="M111:M119" si="48">IF(C24&lt;&gt;"", G24, "")</f>
        <v>3.5</v>
      </c>
      <c r="N111" s="5">
        <f>IF(C24&lt;&gt;"", M111-M111/2, "")</f>
        <v>1.75</v>
      </c>
      <c r="O111" s="5">
        <f>IF(C24&lt;&gt;"", IF(M112="", $R$39, IFERROR(M111+(M112-M111)/2, M111)), "")</f>
        <v>5.25</v>
      </c>
      <c r="P111" s="6">
        <f t="shared" ref="P111:P119" si="49">IF(C24&lt;&gt;"", $W$64*(O111-N111), "")</f>
        <v>2.3896303504932583</v>
      </c>
      <c r="Q111" s="6">
        <f t="shared" ref="Q111:Q119" si="50">IF(C24&lt;&gt;"", IF(O111&lt;=$R$41,$W$63*(O111-N111),IF(N111&gt;=$R$41,$W$64*(O111-N111),$W$64*(O111-$R$41)+$W$63*($R$41-N111))), "")</f>
        <v>2.943803138022985</v>
      </c>
      <c r="W111" s="22"/>
    </row>
    <row r="112" spans="12:23" x14ac:dyDescent="0.25">
      <c r="L112" s="21">
        <v>2</v>
      </c>
      <c r="M112" s="5">
        <f t="shared" si="48"/>
        <v>7</v>
      </c>
      <c r="N112" s="5">
        <f>IF(C25&lt;&gt;"", M112-(M112-M111)/2, "")</f>
        <v>5.25</v>
      </c>
      <c r="O112" s="5">
        <f>IF(C25&lt;&gt;"", IF(M113="", $R$39, IFERROR(M112+(M113-M112)/2, M112)), "")</f>
        <v>8.75</v>
      </c>
      <c r="P112" s="6">
        <f t="shared" si="49"/>
        <v>2.3896303504932583</v>
      </c>
      <c r="Q112" s="6">
        <f t="shared" si="50"/>
        <v>2.943803138022985</v>
      </c>
      <c r="W112" s="22"/>
    </row>
    <row r="113" spans="12:23" x14ac:dyDescent="0.25">
      <c r="L113" s="21">
        <v>3</v>
      </c>
      <c r="M113" s="5">
        <f t="shared" si="48"/>
        <v>10.5</v>
      </c>
      <c r="N113" s="5">
        <f t="shared" ref="N113:N119" si="51">IF(C26&lt;&gt;"", M113-(M113-M112)/2, "")</f>
        <v>8.75</v>
      </c>
      <c r="O113" s="5">
        <f t="shared" ref="O113:O119" si="52">IF(C26&lt;&gt;"", IF(M114="", $R$39, IFERROR(M113+(M114-M113)/2, M113)), "")</f>
        <v>10.5</v>
      </c>
      <c r="P113" s="6">
        <f t="shared" si="49"/>
        <v>1.1948151752466292</v>
      </c>
      <c r="Q113" s="6">
        <f t="shared" si="50"/>
        <v>1.4719015690114925</v>
      </c>
      <c r="W113" s="22"/>
    </row>
    <row r="114" spans="12:23" x14ac:dyDescent="0.25">
      <c r="L114" s="21">
        <v>4</v>
      </c>
      <c r="M114" s="5" t="str">
        <f t="shared" si="48"/>
        <v/>
      </c>
      <c r="N114" s="5" t="str">
        <f t="shared" si="51"/>
        <v/>
      </c>
      <c r="O114" s="5" t="str">
        <f t="shared" si="52"/>
        <v/>
      </c>
      <c r="P114" s="6" t="str">
        <f t="shared" si="49"/>
        <v/>
      </c>
      <c r="Q114" s="6" t="str">
        <f t="shared" si="50"/>
        <v/>
      </c>
      <c r="W114" s="22"/>
    </row>
    <row r="115" spans="12:23" x14ac:dyDescent="0.25">
      <c r="L115" s="21">
        <v>5</v>
      </c>
      <c r="M115" s="5" t="str">
        <f t="shared" si="48"/>
        <v/>
      </c>
      <c r="N115" s="5" t="str">
        <f t="shared" si="51"/>
        <v/>
      </c>
      <c r="O115" s="5" t="str">
        <f t="shared" si="52"/>
        <v/>
      </c>
      <c r="P115" s="6" t="str">
        <f t="shared" si="49"/>
        <v/>
      </c>
      <c r="Q115" s="6" t="str">
        <f t="shared" si="50"/>
        <v/>
      </c>
      <c r="W115" s="22"/>
    </row>
    <row r="116" spans="12:23" x14ac:dyDescent="0.25">
      <c r="L116" s="21">
        <v>6</v>
      </c>
      <c r="M116" s="5" t="str">
        <f t="shared" si="48"/>
        <v/>
      </c>
      <c r="N116" s="5" t="str">
        <f t="shared" si="51"/>
        <v/>
      </c>
      <c r="O116" s="5" t="str">
        <f t="shared" si="52"/>
        <v/>
      </c>
      <c r="P116" s="6" t="str">
        <f t="shared" si="49"/>
        <v/>
      </c>
      <c r="Q116" s="6" t="str">
        <f t="shared" si="50"/>
        <v/>
      </c>
      <c r="W116" s="22"/>
    </row>
    <row r="117" spans="12:23" x14ac:dyDescent="0.25">
      <c r="L117" s="21">
        <v>7</v>
      </c>
      <c r="M117" s="5" t="str">
        <f t="shared" si="48"/>
        <v/>
      </c>
      <c r="N117" s="5" t="str">
        <f t="shared" si="51"/>
        <v/>
      </c>
      <c r="O117" s="5" t="str">
        <f t="shared" si="52"/>
        <v/>
      </c>
      <c r="P117" s="6" t="str">
        <f t="shared" si="49"/>
        <v/>
      </c>
      <c r="Q117" s="6" t="str">
        <f t="shared" si="50"/>
        <v/>
      </c>
      <c r="W117" s="22"/>
    </row>
    <row r="118" spans="12:23" x14ac:dyDescent="0.25">
      <c r="L118" s="21">
        <v>8</v>
      </c>
      <c r="M118" s="5" t="str">
        <f t="shared" si="48"/>
        <v/>
      </c>
      <c r="N118" s="5" t="str">
        <f t="shared" si="51"/>
        <v/>
      </c>
      <c r="O118" s="5" t="str">
        <f t="shared" si="52"/>
        <v/>
      </c>
      <c r="P118" s="6" t="str">
        <f t="shared" si="49"/>
        <v/>
      </c>
      <c r="Q118" s="6" t="str">
        <f t="shared" si="50"/>
        <v/>
      </c>
      <c r="W118" s="22"/>
    </row>
    <row r="119" spans="12:23" x14ac:dyDescent="0.25">
      <c r="L119" s="21">
        <v>9</v>
      </c>
      <c r="M119" s="5" t="str">
        <f t="shared" si="48"/>
        <v/>
      </c>
      <c r="N119" s="5" t="str">
        <f t="shared" si="51"/>
        <v/>
      </c>
      <c r="O119" s="5" t="str">
        <f t="shared" si="52"/>
        <v/>
      </c>
      <c r="P119" s="6" t="str">
        <f t="shared" si="49"/>
        <v/>
      </c>
      <c r="Q119" s="6" t="str">
        <f t="shared" si="50"/>
        <v/>
      </c>
      <c r="W119" s="22"/>
    </row>
    <row r="120" spans="12:23" x14ac:dyDescent="0.25">
      <c r="L120" s="121"/>
      <c r="M120" s="118"/>
      <c r="N120" s="118"/>
      <c r="O120" s="118"/>
      <c r="P120" s="118"/>
      <c r="Q120" s="118"/>
      <c r="R120" s="118"/>
      <c r="W120" s="22"/>
    </row>
    <row r="121" spans="12:23" x14ac:dyDescent="0.25">
      <c r="L121" s="21"/>
      <c r="W121" s="22"/>
    </row>
    <row r="122" spans="12:23" x14ac:dyDescent="0.25">
      <c r="L122" s="179" t="s">
        <v>271</v>
      </c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1"/>
    </row>
    <row r="123" spans="12:23" x14ac:dyDescent="0.25">
      <c r="L123" s="21"/>
      <c r="M123" s="178" t="s">
        <v>135</v>
      </c>
      <c r="N123" s="178"/>
      <c r="Q123" s="178" t="s">
        <v>136</v>
      </c>
      <c r="R123" s="178"/>
      <c r="U123" s="178" t="s">
        <v>279</v>
      </c>
      <c r="V123" s="178"/>
      <c r="W123" s="22"/>
    </row>
    <row r="124" spans="12:23" x14ac:dyDescent="0.25">
      <c r="L124" s="24" t="s">
        <v>3</v>
      </c>
      <c r="M124" s="95" t="s">
        <v>204</v>
      </c>
      <c r="N124" s="95" t="s">
        <v>205</v>
      </c>
      <c r="Q124" s="95" t="s">
        <v>204</v>
      </c>
      <c r="R124" s="95" t="s">
        <v>205</v>
      </c>
      <c r="U124" s="95" t="s">
        <v>204</v>
      </c>
      <c r="V124" s="95" t="s">
        <v>205</v>
      </c>
      <c r="W124" s="22"/>
    </row>
    <row r="125" spans="12:23" x14ac:dyDescent="0.25">
      <c r="L125" s="21">
        <v>1</v>
      </c>
      <c r="M125" s="9">
        <f>IF(C24&lt;&gt;"", $M$52*$C$7*IF($R$39&lt;$R$41, P111, IF($R$39&lt;2*$R$41, Q111, R111)), "")</f>
        <v>14.337782102959551</v>
      </c>
      <c r="N125" s="9">
        <f>IF(C24&lt;&gt;"", Loads!$M$52*$W$68*(Loads!O111-Loads!N111)*Loads!$C$7, "")</f>
        <v>-7.168402274562105</v>
      </c>
      <c r="O125" s="6">
        <f>IF(C24&lt;&gt;"", M125+(-1*N125), "")</f>
        <v>21.506184377521656</v>
      </c>
      <c r="Q125" s="9">
        <f t="shared" ref="Q125:Q133" si="53">IF(C24&lt;&gt;"", $N$52*$C$7*IF($R$39&lt;$R$41, P111, IF($R$39&lt;2*$R$41, Q111, R111)), "")</f>
        <v>14.337782102959551</v>
      </c>
      <c r="R125" s="9">
        <f>IF(C24&lt;&gt;"", Loads!$M$52*$W$68*(Loads!O111-Loads!N111)*Loads!$C$7, "")</f>
        <v>-7.168402274562105</v>
      </c>
      <c r="S125" s="6">
        <f>IF(C24&lt;&gt;"", Q125+(-1*R125), "")</f>
        <v>21.506184377521656</v>
      </c>
      <c r="U125" s="9">
        <f t="shared" ref="U125:U133" si="54">IF(C24&lt;&gt;"", $O$52*$C$7*IF($R$39&lt;$R$41, P111, IF($R$39&lt;2*$R$41, Q111, R111)), "")</f>
        <v>14.337782102959551</v>
      </c>
      <c r="V125" s="9">
        <f>IF(C24&lt;&gt;"", Loads!$O$52*$W$68*(Loads!O111-Loads!N111)*Loads!$C$7, "")</f>
        <v>-7.168402274562105</v>
      </c>
      <c r="W125" s="60">
        <f>IF(C24&lt;&gt;"", U125+(-1*V125), "")</f>
        <v>21.506184377521656</v>
      </c>
    </row>
    <row r="126" spans="12:23" x14ac:dyDescent="0.25">
      <c r="L126" s="21">
        <v>2</v>
      </c>
      <c r="M126" s="9">
        <f t="shared" ref="M126:M133" si="55">IF(C25&lt;&gt;"", $M$52*$C$7*IF($R$39&lt;$R$41, P112, IF($R$39&lt;2*$R$41, Q112, R112)), "")</f>
        <v>14.337782102959551</v>
      </c>
      <c r="N126" s="9">
        <f>IF(C25&lt;&gt;"", Loads!$M$52*$W$68*(Loads!O112-Loads!N112)*Loads!$C$7, "")</f>
        <v>-7.168402274562105</v>
      </c>
      <c r="O126" s="6">
        <f t="shared" ref="O126:O133" si="56">IF(C25&lt;&gt;"", M126+(-1*N126), "")</f>
        <v>21.506184377521656</v>
      </c>
      <c r="Q126" s="9">
        <f t="shared" si="53"/>
        <v>14.337782102959551</v>
      </c>
      <c r="R126" s="9">
        <f>IF(C25&lt;&gt;"", Loads!$M$52*$W$68*(Loads!O112-Loads!N112)*Loads!$C$7, "")</f>
        <v>-7.168402274562105</v>
      </c>
      <c r="S126" s="6">
        <f t="shared" ref="S126:S133" si="57">IF(C25&lt;&gt;"", Q126+(-1*R126), "")</f>
        <v>21.506184377521656</v>
      </c>
      <c r="U126" s="9">
        <f t="shared" si="54"/>
        <v>14.337782102959551</v>
      </c>
      <c r="V126" s="9">
        <f>IF(C25&lt;&gt;"", Loads!$O$52*$W$68*(Loads!O112-Loads!N112)*Loads!$C$7, "")</f>
        <v>-7.168402274562105</v>
      </c>
      <c r="W126" s="60">
        <f t="shared" ref="W126:W133" si="58">IF(C25&lt;&gt;"", U126+(-1*V126), "")</f>
        <v>21.506184377521656</v>
      </c>
    </row>
    <row r="127" spans="12:23" x14ac:dyDescent="0.25">
      <c r="L127" s="21">
        <v>3</v>
      </c>
      <c r="M127" s="9">
        <f t="shared" si="55"/>
        <v>7.1688910514797755</v>
      </c>
      <c r="N127" s="9">
        <f>IF(C26&lt;&gt;"", Loads!$M$52*$W$68*(Loads!O113-Loads!N113)*Loads!$C$7, "")</f>
        <v>-3.5842011372810525</v>
      </c>
      <c r="O127" s="6">
        <f t="shared" si="56"/>
        <v>10.753092188760828</v>
      </c>
      <c r="Q127" s="9">
        <f t="shared" si="53"/>
        <v>7.1688910514797755</v>
      </c>
      <c r="R127" s="9">
        <f>IF(C26&lt;&gt;"", Loads!$M$52*$W$68*(Loads!O113-Loads!N113)*Loads!$C$7, "")</f>
        <v>-3.5842011372810525</v>
      </c>
      <c r="S127" s="6">
        <f t="shared" si="57"/>
        <v>10.753092188760828</v>
      </c>
      <c r="U127" s="9">
        <f t="shared" si="54"/>
        <v>7.1688910514797755</v>
      </c>
      <c r="V127" s="9">
        <f>IF(C26&lt;&gt;"", Loads!$O$52*$W$68*(Loads!O113-Loads!N113)*Loads!$C$7, "")</f>
        <v>-3.5842011372810525</v>
      </c>
      <c r="W127" s="60">
        <f t="shared" si="58"/>
        <v>10.753092188760828</v>
      </c>
    </row>
    <row r="128" spans="12:23" x14ac:dyDescent="0.25">
      <c r="L128" s="21">
        <v>4</v>
      </c>
      <c r="M128" s="9" t="str">
        <f t="shared" si="55"/>
        <v/>
      </c>
      <c r="N128" s="9" t="str">
        <f>IF(C27&lt;&gt;"", Loads!$M$52*$W$68*(Loads!O114-Loads!N114)*Loads!$C$7, "")</f>
        <v/>
      </c>
      <c r="O128" s="6" t="str">
        <f t="shared" si="56"/>
        <v/>
      </c>
      <c r="Q128" s="9" t="str">
        <f t="shared" si="53"/>
        <v/>
      </c>
      <c r="R128" s="9" t="str">
        <f>IF(C27&lt;&gt;"", Loads!$M$52*$W$68*(Loads!O114-Loads!N114)*Loads!$C$7, "")</f>
        <v/>
      </c>
      <c r="S128" s="6" t="str">
        <f t="shared" si="57"/>
        <v/>
      </c>
      <c r="U128" s="9" t="str">
        <f t="shared" si="54"/>
        <v/>
      </c>
      <c r="V128" s="9" t="str">
        <f>IF(C27&lt;&gt;"", Loads!$O$52*$W$68*(Loads!O114-Loads!N114)*Loads!$C$7, "")</f>
        <v/>
      </c>
      <c r="W128" s="60" t="str">
        <f t="shared" si="58"/>
        <v/>
      </c>
    </row>
    <row r="129" spans="12:23" x14ac:dyDescent="0.25">
      <c r="L129" s="21">
        <v>5</v>
      </c>
      <c r="M129" s="9" t="str">
        <f t="shared" si="55"/>
        <v/>
      </c>
      <c r="N129" s="9" t="str">
        <f>IF(C28&lt;&gt;"", Loads!$M$52*$W$68*(Loads!O115-Loads!N115)*Loads!$C$7, "")</f>
        <v/>
      </c>
      <c r="O129" s="6" t="str">
        <f t="shared" si="56"/>
        <v/>
      </c>
      <c r="Q129" s="9" t="str">
        <f t="shared" si="53"/>
        <v/>
      </c>
      <c r="R129" s="9" t="str">
        <f>IF(C28&lt;&gt;"", Loads!$M$52*$W$68*(Loads!O115-Loads!N115)*Loads!$C$7, "")</f>
        <v/>
      </c>
      <c r="S129" s="6" t="str">
        <f t="shared" si="57"/>
        <v/>
      </c>
      <c r="U129" s="9" t="str">
        <f t="shared" si="54"/>
        <v/>
      </c>
      <c r="V129" s="9" t="str">
        <f>IF(C28&lt;&gt;"", Loads!$O$52*$W$68*(Loads!O115-Loads!N115)*Loads!$C$7, "")</f>
        <v/>
      </c>
      <c r="W129" s="60" t="str">
        <f t="shared" si="58"/>
        <v/>
      </c>
    </row>
    <row r="130" spans="12:23" x14ac:dyDescent="0.25">
      <c r="L130" s="21">
        <v>6</v>
      </c>
      <c r="M130" s="9" t="str">
        <f t="shared" si="55"/>
        <v/>
      </c>
      <c r="N130" s="9" t="str">
        <f>IF(C29&lt;&gt;"", Loads!$M$52*$W$68*(Loads!O116-Loads!N116)*Loads!$C$7, "")</f>
        <v/>
      </c>
      <c r="O130" s="6" t="str">
        <f t="shared" si="56"/>
        <v/>
      </c>
      <c r="Q130" s="9" t="str">
        <f t="shared" si="53"/>
        <v/>
      </c>
      <c r="R130" s="9" t="str">
        <f>IF(C29&lt;&gt;"", Loads!$M$52*$W$68*(Loads!O116-Loads!N116)*Loads!$C$7, "")</f>
        <v/>
      </c>
      <c r="S130" s="6" t="str">
        <f t="shared" si="57"/>
        <v/>
      </c>
      <c r="U130" s="9" t="str">
        <f t="shared" si="54"/>
        <v/>
      </c>
      <c r="V130" s="9" t="str">
        <f>IF(C29&lt;&gt;"", Loads!$O$52*$W$68*(Loads!O116-Loads!N116)*Loads!$C$7, "")</f>
        <v/>
      </c>
      <c r="W130" s="60" t="str">
        <f t="shared" si="58"/>
        <v/>
      </c>
    </row>
    <row r="131" spans="12:23" x14ac:dyDescent="0.25">
      <c r="L131" s="21">
        <v>7</v>
      </c>
      <c r="M131" s="9" t="str">
        <f t="shared" si="55"/>
        <v/>
      </c>
      <c r="N131" s="9" t="str">
        <f>IF(C30&lt;&gt;"", Loads!$M$52*$W$68*(Loads!O117-Loads!N117)*Loads!$C$7, "")</f>
        <v/>
      </c>
      <c r="O131" s="6" t="str">
        <f t="shared" si="56"/>
        <v/>
      </c>
      <c r="Q131" s="9" t="str">
        <f t="shared" si="53"/>
        <v/>
      </c>
      <c r="R131" s="9" t="str">
        <f>IF(C30&lt;&gt;"", Loads!$M$52*$W$68*(Loads!O117-Loads!N117)*Loads!$C$7, "")</f>
        <v/>
      </c>
      <c r="S131" s="6" t="str">
        <f t="shared" si="57"/>
        <v/>
      </c>
      <c r="U131" s="9" t="str">
        <f t="shared" si="54"/>
        <v/>
      </c>
      <c r="V131" s="9" t="str">
        <f>IF(C30&lt;&gt;"", Loads!$O$52*$W$68*(Loads!O117-Loads!N117)*Loads!$C$7, "")</f>
        <v/>
      </c>
      <c r="W131" s="60" t="str">
        <f t="shared" si="58"/>
        <v/>
      </c>
    </row>
    <row r="132" spans="12:23" x14ac:dyDescent="0.25">
      <c r="L132" s="21">
        <v>8</v>
      </c>
      <c r="M132" s="9" t="str">
        <f t="shared" si="55"/>
        <v/>
      </c>
      <c r="N132" s="9" t="str">
        <f>IF(C31&lt;&gt;"", Loads!$M$52*$W$68*(Loads!O118-Loads!N118)*Loads!$C$7, "")</f>
        <v/>
      </c>
      <c r="O132" s="6" t="str">
        <f t="shared" si="56"/>
        <v/>
      </c>
      <c r="Q132" s="9" t="str">
        <f t="shared" si="53"/>
        <v/>
      </c>
      <c r="R132" s="9" t="str">
        <f>IF(C31&lt;&gt;"", Loads!$M$52*$W$68*(Loads!O118-Loads!N118)*Loads!$C$7, "")</f>
        <v/>
      </c>
      <c r="S132" s="6" t="str">
        <f t="shared" si="57"/>
        <v/>
      </c>
      <c r="U132" s="9" t="str">
        <f t="shared" si="54"/>
        <v/>
      </c>
      <c r="V132" s="9" t="str">
        <f>IF(C31&lt;&gt;"", Loads!$O$52*$W$68*(Loads!O118-Loads!N118)*Loads!$C$7, "")</f>
        <v/>
      </c>
      <c r="W132" s="60" t="str">
        <f t="shared" si="58"/>
        <v/>
      </c>
    </row>
    <row r="133" spans="12:23" x14ac:dyDescent="0.25">
      <c r="L133" s="21">
        <v>9</v>
      </c>
      <c r="M133" s="9" t="str">
        <f t="shared" si="55"/>
        <v/>
      </c>
      <c r="N133" s="9" t="str">
        <f>IF(C32&lt;&gt;"", Loads!$M$52*$W$68*(Loads!O119-Loads!N119)*Loads!$C$7, "")</f>
        <v/>
      </c>
      <c r="O133" s="6" t="str">
        <f t="shared" si="56"/>
        <v/>
      </c>
      <c r="Q133" s="9" t="str">
        <f t="shared" si="53"/>
        <v/>
      </c>
      <c r="R133" s="9" t="str">
        <f>IF(C32&lt;&gt;"", Loads!$M$52*$W$68*(Loads!O119-Loads!N119)*Loads!$C$7, "")</f>
        <v/>
      </c>
      <c r="S133" s="6" t="str">
        <f t="shared" si="57"/>
        <v/>
      </c>
      <c r="U133" s="9" t="str">
        <f t="shared" si="54"/>
        <v/>
      </c>
      <c r="V133" s="9" t="str">
        <f>IF(C32&lt;&gt;"", Loads!$O$52*$W$68*(Loads!O119-Loads!N119)*Loads!$C$7, "")</f>
        <v/>
      </c>
      <c r="W133" s="60" t="str">
        <f t="shared" si="58"/>
        <v/>
      </c>
    </row>
    <row r="134" spans="12:23" ht="15.75" thickBot="1" x14ac:dyDescent="0.3">
      <c r="L134" s="123" t="s">
        <v>139</v>
      </c>
      <c r="M134" s="96">
        <f>SUM(M125:M133)</f>
        <v>35.844455257398877</v>
      </c>
      <c r="N134" s="96">
        <f>SUM(N125:N133)</f>
        <v>-17.921005686405262</v>
      </c>
      <c r="O134" s="132">
        <f>M134+(-1*N134)</f>
        <v>53.765460943804143</v>
      </c>
      <c r="Q134" s="96">
        <f>SUM(Q125:Q133)</f>
        <v>35.844455257398877</v>
      </c>
      <c r="R134" s="96">
        <f>SUM(R125:R133)</f>
        <v>-17.921005686405262</v>
      </c>
      <c r="S134" s="132">
        <f>Q134+(-1*R134)</f>
        <v>53.765460943804143</v>
      </c>
      <c r="U134" s="96">
        <f>SUM(U125:U133)</f>
        <v>35.844455257398877</v>
      </c>
      <c r="V134" s="96">
        <f>SUM(V125:V133)</f>
        <v>-17.921005686405262</v>
      </c>
      <c r="W134" s="133">
        <f>U134+(-1*V134)</f>
        <v>53.765460943804143</v>
      </c>
    </row>
    <row r="135" spans="12:23" x14ac:dyDescent="0.25">
      <c r="L135" s="21"/>
      <c r="W135" s="22"/>
    </row>
    <row r="136" spans="12:23" x14ac:dyDescent="0.25">
      <c r="L136" s="179" t="s">
        <v>206</v>
      </c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1"/>
    </row>
    <row r="137" spans="12:23" x14ac:dyDescent="0.25">
      <c r="L137" s="21"/>
      <c r="M137" s="178" t="s">
        <v>135</v>
      </c>
      <c r="N137" s="178"/>
      <c r="Q137" s="178" t="s">
        <v>136</v>
      </c>
      <c r="R137" s="178"/>
      <c r="U137" s="178" t="s">
        <v>279</v>
      </c>
      <c r="V137" s="178"/>
      <c r="W137" s="22"/>
    </row>
    <row r="138" spans="12:23" x14ac:dyDescent="0.25">
      <c r="L138" s="24" t="s">
        <v>3</v>
      </c>
      <c r="M138" s="95" t="s">
        <v>204</v>
      </c>
      <c r="N138" s="95" t="s">
        <v>205</v>
      </c>
      <c r="Q138" s="95" t="s">
        <v>204</v>
      </c>
      <c r="R138" s="95" t="s">
        <v>205</v>
      </c>
      <c r="U138" s="95" t="s">
        <v>204</v>
      </c>
      <c r="V138" s="95" t="s">
        <v>205</v>
      </c>
      <c r="W138" s="22"/>
    </row>
    <row r="139" spans="12:23" x14ac:dyDescent="0.25">
      <c r="L139" s="21">
        <v>1</v>
      </c>
      <c r="M139" s="9">
        <f>IF(C24&lt;&gt;"", M125*$E$14*$E$15, "")</f>
        <v>12.904003892663596</v>
      </c>
      <c r="N139" s="9">
        <f t="shared" ref="N139:N147" si="59">IF(C24&lt;&gt;"", N125*$E$14*$E$15, "")</f>
        <v>-6.4515620471058943</v>
      </c>
      <c r="O139" s="6">
        <f>IF(C24&lt;&gt;"", M139+(-1*N139), "")</f>
        <v>19.355565939769491</v>
      </c>
      <c r="Q139" s="9">
        <f t="shared" ref="Q139:Q147" si="60">IF(C24&lt;&gt;"", Q125*$E$14, "")</f>
        <v>21.506673154439326</v>
      </c>
      <c r="R139" s="9">
        <f t="shared" ref="R139:R147" si="61">IF(C24&lt;&gt;"", R125*$E$14, "")</f>
        <v>-10.752603411843157</v>
      </c>
      <c r="S139" s="6">
        <f>IF(C24&lt;&gt;"", Q139+(-1*R139), "")</f>
        <v>32.25927656628248</v>
      </c>
      <c r="U139" s="9">
        <f t="shared" ref="U139:U147" si="62">IF(C24&lt;&gt;"", U125*$E$14*$E$15, "")</f>
        <v>12.904003892663596</v>
      </c>
      <c r="V139" s="9">
        <f t="shared" ref="V139:V147" si="63">IF(C24&lt;&gt;"", V125*$E$14*$E$15, "")</f>
        <v>-6.4515620471058943</v>
      </c>
      <c r="W139" s="60">
        <f>IF(C24&lt;&gt;"", U139+(-1*V139), "")</f>
        <v>19.355565939769491</v>
      </c>
    </row>
    <row r="140" spans="12:23" x14ac:dyDescent="0.25">
      <c r="L140" s="21">
        <v>2</v>
      </c>
      <c r="M140" s="9">
        <f t="shared" ref="M140:M147" si="64">IF(C25&lt;&gt;"", M126*$E$14*$E$15, "")</f>
        <v>12.904003892663596</v>
      </c>
      <c r="N140" s="9">
        <f t="shared" si="59"/>
        <v>-6.4515620471058943</v>
      </c>
      <c r="O140" s="6">
        <f t="shared" ref="O140:O147" si="65">IF(C25&lt;&gt;"", M140+(-1*N140), "")</f>
        <v>19.355565939769491</v>
      </c>
      <c r="Q140" s="9">
        <f t="shared" si="60"/>
        <v>21.506673154439326</v>
      </c>
      <c r="R140" s="9">
        <f t="shared" si="61"/>
        <v>-10.752603411843157</v>
      </c>
      <c r="S140" s="6">
        <f t="shared" ref="S140:S147" si="66">IF(C25&lt;&gt;"", Q140+(-1*R140), "")</f>
        <v>32.25927656628248</v>
      </c>
      <c r="U140" s="9">
        <f t="shared" si="62"/>
        <v>12.904003892663596</v>
      </c>
      <c r="V140" s="9">
        <f t="shared" si="63"/>
        <v>-6.4515620471058943</v>
      </c>
      <c r="W140" s="60">
        <f t="shared" ref="W140:W147" si="67">IF(C25&lt;&gt;"", U140+(-1*V140), "")</f>
        <v>19.355565939769491</v>
      </c>
    </row>
    <row r="141" spans="12:23" x14ac:dyDescent="0.25">
      <c r="L141" s="21">
        <v>3</v>
      </c>
      <c r="M141" s="9">
        <f t="shared" si="64"/>
        <v>6.4520019463317979</v>
      </c>
      <c r="N141" s="9">
        <f t="shared" si="59"/>
        <v>-3.2257810235529472</v>
      </c>
      <c r="O141" s="6">
        <f t="shared" si="65"/>
        <v>9.6777829698847455</v>
      </c>
      <c r="Q141" s="9">
        <f t="shared" si="60"/>
        <v>10.753336577219663</v>
      </c>
      <c r="R141" s="9">
        <f t="shared" si="61"/>
        <v>-5.3763017059215787</v>
      </c>
      <c r="S141" s="6">
        <f t="shared" si="66"/>
        <v>16.12963828314124</v>
      </c>
      <c r="U141" s="9">
        <f t="shared" si="62"/>
        <v>6.4520019463317979</v>
      </c>
      <c r="V141" s="9">
        <f t="shared" si="63"/>
        <v>-3.2257810235529472</v>
      </c>
      <c r="W141" s="60">
        <f t="shared" si="67"/>
        <v>9.6777829698847455</v>
      </c>
    </row>
    <row r="142" spans="12:23" x14ac:dyDescent="0.25">
      <c r="L142" s="21">
        <v>4</v>
      </c>
      <c r="M142" s="9" t="str">
        <f t="shared" si="64"/>
        <v/>
      </c>
      <c r="N142" s="9" t="str">
        <f t="shared" si="59"/>
        <v/>
      </c>
      <c r="O142" s="6" t="str">
        <f t="shared" si="65"/>
        <v/>
      </c>
      <c r="Q142" s="9" t="str">
        <f t="shared" si="60"/>
        <v/>
      </c>
      <c r="R142" s="9" t="str">
        <f t="shared" si="61"/>
        <v/>
      </c>
      <c r="S142" s="6" t="str">
        <f t="shared" si="66"/>
        <v/>
      </c>
      <c r="U142" s="9" t="str">
        <f t="shared" si="62"/>
        <v/>
      </c>
      <c r="V142" s="9" t="str">
        <f t="shared" si="63"/>
        <v/>
      </c>
      <c r="W142" s="60" t="str">
        <f t="shared" si="67"/>
        <v/>
      </c>
    </row>
    <row r="143" spans="12:23" x14ac:dyDescent="0.25">
      <c r="L143" s="21">
        <v>5</v>
      </c>
      <c r="M143" s="9" t="str">
        <f t="shared" si="64"/>
        <v/>
      </c>
      <c r="N143" s="9" t="str">
        <f t="shared" si="59"/>
        <v/>
      </c>
      <c r="O143" s="6" t="str">
        <f t="shared" si="65"/>
        <v/>
      </c>
      <c r="Q143" s="9" t="str">
        <f t="shared" si="60"/>
        <v/>
      </c>
      <c r="R143" s="9" t="str">
        <f t="shared" si="61"/>
        <v/>
      </c>
      <c r="S143" s="6" t="str">
        <f t="shared" si="66"/>
        <v/>
      </c>
      <c r="U143" s="9" t="str">
        <f t="shared" si="62"/>
        <v/>
      </c>
      <c r="V143" s="9" t="str">
        <f t="shared" si="63"/>
        <v/>
      </c>
      <c r="W143" s="60" t="str">
        <f t="shared" si="67"/>
        <v/>
      </c>
    </row>
    <row r="144" spans="12:23" x14ac:dyDescent="0.25">
      <c r="L144" s="21">
        <v>6</v>
      </c>
      <c r="M144" s="9" t="str">
        <f t="shared" si="64"/>
        <v/>
      </c>
      <c r="N144" s="9" t="str">
        <f t="shared" si="59"/>
        <v/>
      </c>
      <c r="O144" s="6" t="str">
        <f t="shared" si="65"/>
        <v/>
      </c>
      <c r="Q144" s="9" t="str">
        <f t="shared" si="60"/>
        <v/>
      </c>
      <c r="R144" s="9" t="str">
        <f t="shared" si="61"/>
        <v/>
      </c>
      <c r="S144" s="6" t="str">
        <f t="shared" si="66"/>
        <v/>
      </c>
      <c r="U144" s="9" t="str">
        <f t="shared" si="62"/>
        <v/>
      </c>
      <c r="V144" s="9" t="str">
        <f t="shared" si="63"/>
        <v/>
      </c>
      <c r="W144" s="60" t="str">
        <f t="shared" si="67"/>
        <v/>
      </c>
    </row>
    <row r="145" spans="12:23" x14ac:dyDescent="0.25">
      <c r="L145" s="21">
        <v>7</v>
      </c>
      <c r="M145" s="9" t="str">
        <f t="shared" si="64"/>
        <v/>
      </c>
      <c r="N145" s="9" t="str">
        <f t="shared" si="59"/>
        <v/>
      </c>
      <c r="O145" s="6" t="str">
        <f t="shared" si="65"/>
        <v/>
      </c>
      <c r="Q145" s="9" t="str">
        <f t="shared" si="60"/>
        <v/>
      </c>
      <c r="R145" s="9" t="str">
        <f t="shared" si="61"/>
        <v/>
      </c>
      <c r="S145" s="6" t="str">
        <f t="shared" si="66"/>
        <v/>
      </c>
      <c r="U145" s="9" t="str">
        <f t="shared" si="62"/>
        <v/>
      </c>
      <c r="V145" s="9" t="str">
        <f t="shared" si="63"/>
        <v/>
      </c>
      <c r="W145" s="60" t="str">
        <f t="shared" si="67"/>
        <v/>
      </c>
    </row>
    <row r="146" spans="12:23" x14ac:dyDescent="0.25">
      <c r="L146" s="21">
        <v>8</v>
      </c>
      <c r="M146" s="9" t="str">
        <f t="shared" si="64"/>
        <v/>
      </c>
      <c r="N146" s="9" t="str">
        <f t="shared" si="59"/>
        <v/>
      </c>
      <c r="O146" s="6" t="str">
        <f t="shared" si="65"/>
        <v/>
      </c>
      <c r="Q146" s="9" t="str">
        <f t="shared" si="60"/>
        <v/>
      </c>
      <c r="R146" s="9" t="str">
        <f t="shared" si="61"/>
        <v/>
      </c>
      <c r="S146" s="6" t="str">
        <f t="shared" si="66"/>
        <v/>
      </c>
      <c r="U146" s="9" t="str">
        <f t="shared" si="62"/>
        <v/>
      </c>
      <c r="V146" s="9" t="str">
        <f t="shared" si="63"/>
        <v/>
      </c>
      <c r="W146" s="60" t="str">
        <f t="shared" si="67"/>
        <v/>
      </c>
    </row>
    <row r="147" spans="12:23" x14ac:dyDescent="0.25">
      <c r="L147" s="21">
        <v>9</v>
      </c>
      <c r="M147" s="9" t="str">
        <f t="shared" si="64"/>
        <v/>
      </c>
      <c r="N147" s="9" t="str">
        <f t="shared" si="59"/>
        <v/>
      </c>
      <c r="O147" s="6" t="str">
        <f t="shared" si="65"/>
        <v/>
      </c>
      <c r="Q147" s="9" t="str">
        <f t="shared" si="60"/>
        <v/>
      </c>
      <c r="R147" s="9" t="str">
        <f t="shared" si="61"/>
        <v/>
      </c>
      <c r="S147" s="6" t="str">
        <f t="shared" si="66"/>
        <v/>
      </c>
      <c r="U147" s="9" t="str">
        <f t="shared" si="62"/>
        <v/>
      </c>
      <c r="V147" s="9" t="str">
        <f t="shared" si="63"/>
        <v/>
      </c>
      <c r="W147" s="60" t="str">
        <f t="shared" si="67"/>
        <v/>
      </c>
    </row>
    <row r="148" spans="12:23" ht="15.75" thickBot="1" x14ac:dyDescent="0.3">
      <c r="L148" s="124" t="s">
        <v>139</v>
      </c>
      <c r="M148" s="96">
        <f>SUM(M139:M147)</f>
        <v>32.26000973165899</v>
      </c>
      <c r="N148" s="96">
        <f>SUM(N139:N147)</f>
        <v>-16.128905117764734</v>
      </c>
      <c r="O148" s="190">
        <f>M148+(-1*N148)</f>
        <v>48.388914849423728</v>
      </c>
      <c r="P148" s="27"/>
      <c r="Q148" s="96">
        <f>SUM(Q139:Q147)</f>
        <v>53.766682886098316</v>
      </c>
      <c r="R148" s="96">
        <f>SUM(R139:R147)</f>
        <v>-26.881508529607892</v>
      </c>
      <c r="S148" s="190">
        <f>Q148+(-1*R148)</f>
        <v>80.648191415706208</v>
      </c>
      <c r="T148" s="27"/>
      <c r="U148" s="96">
        <f>SUM(U139:U147)</f>
        <v>32.26000973165899</v>
      </c>
      <c r="V148" s="96">
        <f>SUM(V139:V147)</f>
        <v>-16.128905117764734</v>
      </c>
      <c r="W148" s="191">
        <f>U148+(-1*V148)</f>
        <v>48.388914849423728</v>
      </c>
    </row>
  </sheetData>
  <mergeCells count="8">
    <mergeCell ref="U137:V137"/>
    <mergeCell ref="M137:N137"/>
    <mergeCell ref="M123:N123"/>
    <mergeCell ref="L122:W122"/>
    <mergeCell ref="L136:W136"/>
    <mergeCell ref="Q123:R123"/>
    <mergeCell ref="U123:V123"/>
    <mergeCell ref="Q137:R13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563A-0350-4F2D-BCCD-EF0BE2A3F8B1}">
  <dimension ref="B2:R25"/>
  <sheetViews>
    <sheetView workbookViewId="0">
      <selection activeCell="B5" sqref="B5:L5"/>
    </sheetView>
  </sheetViews>
  <sheetFormatPr baseColWidth="10" defaultRowHeight="15" x14ac:dyDescent="0.25"/>
  <cols>
    <col min="3" max="3" width="15.140625" customWidth="1"/>
    <col min="4" max="5" width="14.28515625" bestFit="1" customWidth="1"/>
    <col min="7" max="7" width="15.7109375" customWidth="1"/>
    <col min="9" max="9" width="15.140625" bestFit="1" customWidth="1"/>
    <col min="10" max="10" width="15.42578125" customWidth="1"/>
    <col min="11" max="11" width="15.28515625" customWidth="1"/>
    <col min="13" max="13" width="15.140625" bestFit="1" customWidth="1"/>
  </cols>
  <sheetData>
    <row r="2" spans="2:18" ht="15.75" thickBot="1" x14ac:dyDescent="0.3"/>
    <row r="3" spans="2:18" x14ac:dyDescent="0.25">
      <c r="B3" s="83" t="s">
        <v>210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  <c r="N3" s="153"/>
      <c r="P3" s="91" t="s">
        <v>224</v>
      </c>
      <c r="Q3" s="30"/>
      <c r="R3" s="31"/>
    </row>
    <row r="4" spans="2:18" ht="18" x14ac:dyDescent="0.35">
      <c r="B4" s="55" t="s">
        <v>63</v>
      </c>
      <c r="C4" s="100" t="s">
        <v>262</v>
      </c>
      <c r="D4" s="100" t="s">
        <v>261</v>
      </c>
      <c r="E4" s="100" t="s">
        <v>227</v>
      </c>
      <c r="F4" s="100" t="s">
        <v>66</v>
      </c>
      <c r="G4" s="100" t="s">
        <v>48</v>
      </c>
      <c r="H4" s="100" t="s">
        <v>228</v>
      </c>
      <c r="I4" s="100" t="s">
        <v>229</v>
      </c>
      <c r="J4" s="100" t="s">
        <v>230</v>
      </c>
      <c r="K4" s="100" t="s">
        <v>64</v>
      </c>
      <c r="L4" s="100" t="s">
        <v>245</v>
      </c>
      <c r="M4" s="101" t="s">
        <v>231</v>
      </c>
      <c r="N4" s="2"/>
      <c r="P4" s="24" t="s">
        <v>237</v>
      </c>
      <c r="Q4" s="4">
        <v>23.5</v>
      </c>
      <c r="R4" s="22" t="s">
        <v>61</v>
      </c>
    </row>
    <row r="5" spans="2:18" ht="15.75" thickBot="1" x14ac:dyDescent="0.3">
      <c r="B5" s="197" t="s">
        <v>310</v>
      </c>
      <c r="C5" s="198">
        <v>2</v>
      </c>
      <c r="D5" s="198">
        <v>21240</v>
      </c>
      <c r="E5" s="198">
        <v>23950</v>
      </c>
      <c r="F5" s="198">
        <v>1709</v>
      </c>
      <c r="G5" s="198">
        <v>36</v>
      </c>
      <c r="H5" s="198">
        <v>17</v>
      </c>
      <c r="I5" s="198">
        <v>0.8</v>
      </c>
      <c r="J5" s="198">
        <v>1.27</v>
      </c>
      <c r="K5" s="198">
        <v>72.7</v>
      </c>
      <c r="L5" s="198">
        <v>16270</v>
      </c>
      <c r="M5" s="37">
        <f>G5-2*J5</f>
        <v>33.46</v>
      </c>
      <c r="N5" s="5"/>
      <c r="P5" s="92" t="s">
        <v>86</v>
      </c>
      <c r="Q5" s="4">
        <v>21000</v>
      </c>
      <c r="R5" s="22" t="s">
        <v>61</v>
      </c>
    </row>
    <row r="6" spans="2:18" ht="18.75" thickBot="1" x14ac:dyDescent="0.4">
      <c r="P6" s="92" t="s">
        <v>235</v>
      </c>
      <c r="Q6" s="4">
        <v>1</v>
      </c>
      <c r="R6" s="22"/>
    </row>
    <row r="7" spans="2:18" ht="18" x14ac:dyDescent="0.35">
      <c r="B7" s="83" t="s">
        <v>211</v>
      </c>
      <c r="C7" s="81"/>
      <c r="D7" s="81"/>
      <c r="E7" s="81"/>
      <c r="F7" s="81"/>
      <c r="G7" s="81"/>
      <c r="H7" s="81"/>
      <c r="I7" s="81"/>
      <c r="J7" s="81"/>
      <c r="K7" s="30"/>
      <c r="L7" s="30"/>
      <c r="M7" s="30"/>
      <c r="N7" s="82"/>
      <c r="P7" s="92" t="s">
        <v>236</v>
      </c>
      <c r="Q7" s="4">
        <v>1.1000000000000001</v>
      </c>
      <c r="R7" s="22"/>
    </row>
    <row r="8" spans="2:18" ht="18" x14ac:dyDescent="0.35">
      <c r="B8" s="55" t="s">
        <v>63</v>
      </c>
      <c r="C8" s="100" t="s">
        <v>48</v>
      </c>
      <c r="D8" s="100" t="s">
        <v>228</v>
      </c>
      <c r="E8" s="100" t="s">
        <v>229</v>
      </c>
      <c r="F8" s="100" t="s">
        <v>230</v>
      </c>
      <c r="G8" s="100" t="s">
        <v>64</v>
      </c>
      <c r="H8" s="100" t="s">
        <v>245</v>
      </c>
      <c r="I8" s="100" t="s">
        <v>306</v>
      </c>
      <c r="J8" s="100" t="s">
        <v>246</v>
      </c>
      <c r="K8" s="161" t="s">
        <v>308</v>
      </c>
      <c r="L8" s="161" t="s">
        <v>307</v>
      </c>
      <c r="M8" s="161" t="s">
        <v>232</v>
      </c>
      <c r="N8" s="101" t="s">
        <v>231</v>
      </c>
      <c r="P8" s="92" t="s">
        <v>233</v>
      </c>
      <c r="Q8" s="4">
        <v>93.9</v>
      </c>
      <c r="R8" s="22"/>
    </row>
    <row r="9" spans="2:18" ht="18.75" thickBot="1" x14ac:dyDescent="0.4">
      <c r="B9" s="197" t="s">
        <v>309</v>
      </c>
      <c r="C9" s="198">
        <v>65</v>
      </c>
      <c r="D9" s="199">
        <v>30</v>
      </c>
      <c r="E9" s="199">
        <v>1.7</v>
      </c>
      <c r="F9" s="199">
        <v>3.2</v>
      </c>
      <c r="G9" s="199">
        <v>286.3</v>
      </c>
      <c r="H9" s="198">
        <v>256900</v>
      </c>
      <c r="I9" s="198">
        <v>29</v>
      </c>
      <c r="J9" s="198">
        <v>6.87</v>
      </c>
      <c r="K9" s="198">
        <v>0.21</v>
      </c>
      <c r="L9" s="198">
        <v>0.34</v>
      </c>
      <c r="M9" s="198">
        <v>172020</v>
      </c>
      <c r="N9" s="154">
        <f>C9-2*F9</f>
        <v>58.6</v>
      </c>
      <c r="P9" s="92" t="s">
        <v>234</v>
      </c>
      <c r="Q9" s="4">
        <v>1.45</v>
      </c>
      <c r="R9" s="22"/>
    </row>
    <row r="10" spans="2:18" ht="18.75" thickBot="1" x14ac:dyDescent="0.4">
      <c r="P10" s="51" t="s">
        <v>249</v>
      </c>
      <c r="Q10" s="35">
        <v>1.1000000000000001</v>
      </c>
      <c r="R10" s="28"/>
    </row>
    <row r="11" spans="2:18" x14ac:dyDescent="0.25">
      <c r="B11" s="83" t="s">
        <v>214</v>
      </c>
      <c r="C11" s="81"/>
      <c r="D11" s="81"/>
      <c r="E11" s="81"/>
      <c r="F11" s="81"/>
      <c r="G11" s="81"/>
      <c r="H11" s="81"/>
      <c r="I11" s="81"/>
      <c r="J11" s="82"/>
    </row>
    <row r="12" spans="2:18" ht="16.5" x14ac:dyDescent="0.25">
      <c r="B12" s="84" t="s">
        <v>3</v>
      </c>
      <c r="C12" s="85" t="s">
        <v>63</v>
      </c>
      <c r="D12" s="85" t="s">
        <v>225</v>
      </c>
      <c r="E12" s="85" t="s">
        <v>226</v>
      </c>
      <c r="F12" s="85" t="s">
        <v>64</v>
      </c>
      <c r="G12" s="85" t="s">
        <v>69</v>
      </c>
      <c r="H12" s="85" t="s">
        <v>245</v>
      </c>
      <c r="I12" s="88" t="s">
        <v>73</v>
      </c>
      <c r="J12" s="86" t="s">
        <v>232</v>
      </c>
    </row>
    <row r="13" spans="2:18" x14ac:dyDescent="0.25">
      <c r="B13" s="89">
        <v>1</v>
      </c>
      <c r="C13" s="192" t="s">
        <v>301</v>
      </c>
      <c r="D13" s="189">
        <v>193.7</v>
      </c>
      <c r="E13" s="189">
        <v>6</v>
      </c>
      <c r="F13" s="193">
        <v>35.380000000000003</v>
      </c>
      <c r="G13" s="194">
        <v>6.64</v>
      </c>
      <c r="H13" s="195">
        <v>1560</v>
      </c>
      <c r="I13" s="194">
        <v>0.49</v>
      </c>
      <c r="J13" s="196">
        <v>4970.3</v>
      </c>
    </row>
    <row r="14" spans="2:18" x14ac:dyDescent="0.25">
      <c r="B14" s="89">
        <v>2</v>
      </c>
      <c r="C14" s="192" t="s">
        <v>301</v>
      </c>
      <c r="D14" s="189">
        <v>193.7</v>
      </c>
      <c r="E14" s="189">
        <v>6</v>
      </c>
      <c r="F14" s="193">
        <v>35.380000000000003</v>
      </c>
      <c r="G14" s="194">
        <v>6.64</v>
      </c>
      <c r="H14" s="195">
        <v>1560</v>
      </c>
      <c r="I14" s="194">
        <v>0.49</v>
      </c>
      <c r="J14" s="196">
        <v>4970.3</v>
      </c>
    </row>
    <row r="15" spans="2:18" x14ac:dyDescent="0.25">
      <c r="B15" s="89">
        <v>3</v>
      </c>
      <c r="C15" s="192" t="s">
        <v>303</v>
      </c>
      <c r="D15" s="189">
        <v>177.8</v>
      </c>
      <c r="E15" s="189">
        <v>6.3</v>
      </c>
      <c r="F15" s="193">
        <v>32.380000000000003</v>
      </c>
      <c r="G15" s="194">
        <v>6.08</v>
      </c>
      <c r="H15" s="195">
        <v>1196</v>
      </c>
      <c r="I15" s="194">
        <v>0.49</v>
      </c>
      <c r="J15" s="196">
        <v>4164.2</v>
      </c>
    </row>
    <row r="16" spans="2:18" x14ac:dyDescent="0.25">
      <c r="B16" s="89">
        <v>4</v>
      </c>
      <c r="C16" s="11"/>
      <c r="D16" s="4"/>
      <c r="E16" s="4"/>
      <c r="F16" s="137"/>
      <c r="G16" s="138"/>
      <c r="H16" s="140"/>
      <c r="I16" s="138"/>
      <c r="J16" s="139"/>
    </row>
    <row r="17" spans="2:14" x14ac:dyDescent="0.25">
      <c r="B17" s="89">
        <v>5</v>
      </c>
      <c r="C17" s="11"/>
      <c r="D17" s="4"/>
      <c r="E17" s="4"/>
      <c r="F17" s="137"/>
      <c r="G17" s="138"/>
      <c r="H17" s="140"/>
      <c r="I17" s="138"/>
      <c r="J17" s="139"/>
    </row>
    <row r="18" spans="2:14" x14ac:dyDescent="0.25">
      <c r="B18" s="89">
        <v>6</v>
      </c>
      <c r="C18" s="11"/>
      <c r="D18" s="4"/>
      <c r="E18" s="4"/>
      <c r="F18" s="137"/>
      <c r="G18" s="138"/>
      <c r="H18" s="140"/>
      <c r="I18" s="138"/>
      <c r="J18" s="139"/>
    </row>
    <row r="19" spans="2:14" x14ac:dyDescent="0.25">
      <c r="B19" s="89">
        <v>7</v>
      </c>
      <c r="C19" s="11"/>
      <c r="D19" s="4"/>
      <c r="E19" s="4"/>
      <c r="F19" s="137"/>
      <c r="G19" s="138"/>
      <c r="H19" s="140"/>
      <c r="I19" s="138"/>
      <c r="J19" s="139"/>
    </row>
    <row r="20" spans="2:14" x14ac:dyDescent="0.25">
      <c r="B20" s="89">
        <v>8</v>
      </c>
      <c r="C20" s="11"/>
      <c r="D20" s="4"/>
      <c r="E20" s="4"/>
      <c r="F20" s="138"/>
      <c r="G20" s="138"/>
      <c r="H20" s="140"/>
      <c r="I20" s="138"/>
      <c r="J20" s="139"/>
    </row>
    <row r="21" spans="2:14" ht="15.75" thickBot="1" x14ac:dyDescent="0.3">
      <c r="B21" s="90">
        <v>9</v>
      </c>
      <c r="C21" s="87"/>
      <c r="D21" s="35"/>
      <c r="E21" s="35"/>
      <c r="F21" s="141"/>
      <c r="G21" s="141"/>
      <c r="H21" s="143"/>
      <c r="I21" s="144"/>
      <c r="J21" s="142"/>
    </row>
    <row r="25" spans="2:14" x14ac:dyDescent="0.25">
      <c r="B25" s="4"/>
      <c r="C25" s="4"/>
      <c r="D25" s="12"/>
      <c r="E25" s="12"/>
      <c r="F25" s="12"/>
      <c r="G25" s="12"/>
      <c r="H25" s="4"/>
      <c r="I25" s="4"/>
      <c r="J25" s="4"/>
      <c r="K25" s="4"/>
      <c r="L25" s="4"/>
      <c r="M25" s="4"/>
      <c r="N25" s="18"/>
    </row>
  </sheetData>
  <phoneticPr fontId="20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6643-04BF-45CF-8ECA-E04CD94177C3}">
  <dimension ref="B2:Z82"/>
  <sheetViews>
    <sheetView zoomScale="85" zoomScaleNormal="85" workbookViewId="0">
      <selection activeCell="K23" sqref="K23"/>
    </sheetView>
  </sheetViews>
  <sheetFormatPr baseColWidth="10" defaultRowHeight="15" x14ac:dyDescent="0.25"/>
  <cols>
    <col min="7" max="7" width="11.42578125" customWidth="1"/>
  </cols>
  <sheetData>
    <row r="2" spans="2:19" ht="15.75" thickBot="1" x14ac:dyDescent="0.3"/>
    <row r="3" spans="2:19" x14ac:dyDescent="0.25">
      <c r="B3" s="166" t="s">
        <v>60</v>
      </c>
      <c r="C3" s="158">
        <f>'Cross Sections and Materials'!Q4</f>
        <v>23.5</v>
      </c>
      <c r="D3" s="127" t="s">
        <v>61</v>
      </c>
    </row>
    <row r="4" spans="2:19" x14ac:dyDescent="0.25">
      <c r="B4" s="21" t="s">
        <v>62</v>
      </c>
      <c r="C4" s="5">
        <f>'Cross Sections and Materials'!Q6</f>
        <v>1</v>
      </c>
      <c r="D4" s="22"/>
    </row>
    <row r="5" spans="2:19" x14ac:dyDescent="0.25">
      <c r="B5" s="21" t="s">
        <v>125</v>
      </c>
      <c r="C5" s="5">
        <f>'Cross Sections and Materials'!Q7</f>
        <v>1.1000000000000001</v>
      </c>
      <c r="D5" s="22"/>
    </row>
    <row r="6" spans="2:19" ht="18.75" thickBot="1" x14ac:dyDescent="0.4">
      <c r="B6" s="167" t="s">
        <v>71</v>
      </c>
      <c r="C6" s="36">
        <f>'Cross Sections and Materials'!Q8</f>
        <v>93.9</v>
      </c>
      <c r="D6" s="28"/>
    </row>
    <row r="7" spans="2:19" x14ac:dyDescent="0.25">
      <c r="C7" s="4"/>
    </row>
    <row r="8" spans="2:19" x14ac:dyDescent="0.25">
      <c r="B8" s="10" t="s">
        <v>210</v>
      </c>
    </row>
    <row r="9" spans="2:19" x14ac:dyDescent="0.25">
      <c r="B9" t="s">
        <v>207</v>
      </c>
      <c r="E9" s="2"/>
      <c r="F9" s="2"/>
      <c r="G9" s="2"/>
      <c r="I9" s="2"/>
      <c r="J9" s="2"/>
      <c r="K9" s="2"/>
      <c r="Q9" s="2"/>
      <c r="R9" s="2"/>
      <c r="S9" s="2"/>
    </row>
    <row r="10" spans="2:19" ht="15.75" thickBot="1" x14ac:dyDescent="0.3">
      <c r="E10" s="2"/>
      <c r="F10" s="2"/>
      <c r="G10" s="2"/>
      <c r="I10" s="2"/>
      <c r="J10" s="2"/>
      <c r="K10" s="2"/>
      <c r="Q10" s="2"/>
      <c r="R10" s="2"/>
      <c r="S10" s="2"/>
    </row>
    <row r="11" spans="2:19" x14ac:dyDescent="0.25">
      <c r="B11" s="29" t="s">
        <v>208</v>
      </c>
      <c r="C11" s="38"/>
      <c r="D11" s="38"/>
      <c r="E11" s="38"/>
      <c r="F11" s="39"/>
      <c r="G11" s="2"/>
      <c r="H11" s="29" t="s">
        <v>209</v>
      </c>
      <c r="I11" s="38"/>
      <c r="J11" s="38"/>
      <c r="K11" s="38"/>
      <c r="L11" s="38"/>
      <c r="M11" s="38"/>
      <c r="N11" s="38"/>
      <c r="O11" s="38"/>
      <c r="P11" s="38"/>
      <c r="Q11" s="39"/>
      <c r="R11" s="2"/>
      <c r="S11" s="2"/>
    </row>
    <row r="12" spans="2:19" x14ac:dyDescent="0.25">
      <c r="B12" s="55" t="s">
        <v>137</v>
      </c>
      <c r="C12" s="165">
        <v>22</v>
      </c>
      <c r="D12" s="17" t="s">
        <v>89</v>
      </c>
      <c r="E12" s="17" t="s">
        <v>91</v>
      </c>
      <c r="F12" s="32" t="s">
        <v>90</v>
      </c>
      <c r="H12" s="24" t="s">
        <v>63</v>
      </c>
      <c r="I12" s="2" t="s">
        <v>92</v>
      </c>
      <c r="J12" s="2" t="s">
        <v>93</v>
      </c>
      <c r="K12" s="2" t="s">
        <v>104</v>
      </c>
      <c r="L12" s="2" t="s">
        <v>95</v>
      </c>
      <c r="M12" s="2" t="s">
        <v>105</v>
      </c>
      <c r="N12" s="2" t="s">
        <v>96</v>
      </c>
      <c r="O12" s="2" t="s">
        <v>94</v>
      </c>
      <c r="Q12" s="22"/>
      <c r="R12" s="17"/>
      <c r="S12" s="17"/>
    </row>
    <row r="13" spans="2:19" x14ac:dyDescent="0.25">
      <c r="B13" s="184" t="s">
        <v>135</v>
      </c>
      <c r="C13" s="57" t="s">
        <v>138</v>
      </c>
      <c r="D13" s="189">
        <v>13440</v>
      </c>
      <c r="E13" s="189">
        <v>-30.97</v>
      </c>
      <c r="F13" s="163">
        <v>0</v>
      </c>
      <c r="H13" s="73" t="str">
        <f>'Cross Sections and Materials'!B5</f>
        <v>IPE 360</v>
      </c>
      <c r="I13" s="5">
        <f>'Cross Sections and Materials'!E5</f>
        <v>23950</v>
      </c>
      <c r="J13" s="5">
        <f>'Cross Sections and Materials'!F5</f>
        <v>1709</v>
      </c>
      <c r="K13" s="5">
        <f>'Cross Sections and Materials'!H5</f>
        <v>17</v>
      </c>
      <c r="L13" s="5">
        <f>'Cross Sections and Materials'!I5</f>
        <v>0.8</v>
      </c>
      <c r="M13" s="5">
        <f>'Cross Sections and Materials'!J5</f>
        <v>1.27</v>
      </c>
      <c r="N13" s="5">
        <f>'Cross Sections and Materials'!K5</f>
        <v>72.7</v>
      </c>
      <c r="O13" s="5">
        <f>'Cross Sections and Materials'!M5</f>
        <v>33.46</v>
      </c>
      <c r="Q13" s="22"/>
    </row>
    <row r="14" spans="2:19" x14ac:dyDescent="0.25">
      <c r="B14" s="184"/>
      <c r="C14" s="57" t="s">
        <v>129</v>
      </c>
      <c r="D14" s="104">
        <v>0</v>
      </c>
      <c r="E14" s="189">
        <v>-67.3</v>
      </c>
      <c r="F14" s="163">
        <v>0</v>
      </c>
      <c r="H14" s="50"/>
      <c r="I14" s="4"/>
      <c r="J14" s="4"/>
      <c r="K14" s="4"/>
      <c r="L14" s="12"/>
      <c r="M14" s="4"/>
      <c r="N14" s="4"/>
      <c r="O14" s="5"/>
      <c r="P14" s="5"/>
      <c r="Q14" s="40"/>
    </row>
    <row r="15" spans="2:19" ht="18" x14ac:dyDescent="0.35">
      <c r="B15" s="184"/>
      <c r="C15" s="57" t="s">
        <v>130</v>
      </c>
      <c r="D15" s="4"/>
      <c r="E15" s="4"/>
      <c r="F15" s="47"/>
      <c r="H15" s="21"/>
      <c r="I15" s="2" t="s">
        <v>89</v>
      </c>
      <c r="J15" s="2" t="s">
        <v>91</v>
      </c>
      <c r="K15" s="2" t="s">
        <v>101</v>
      </c>
      <c r="L15" s="2" t="s">
        <v>102</v>
      </c>
      <c r="M15" s="2" t="s">
        <v>103</v>
      </c>
      <c r="N15" s="2" t="s">
        <v>110</v>
      </c>
      <c r="O15" s="14" t="s">
        <v>106</v>
      </c>
      <c r="P15" s="14" t="s">
        <v>107</v>
      </c>
      <c r="Q15" s="22"/>
    </row>
    <row r="16" spans="2:19" x14ac:dyDescent="0.25">
      <c r="B16" s="185"/>
      <c r="C16" s="58" t="s">
        <v>139</v>
      </c>
      <c r="D16" s="44">
        <f>SUM(D13:D15)</f>
        <v>13440</v>
      </c>
      <c r="E16" s="45">
        <f t="shared" ref="E16:F16" si="0">SUM(E13:E15)</f>
        <v>-98.27</v>
      </c>
      <c r="F16" s="48">
        <f t="shared" si="0"/>
        <v>0</v>
      </c>
      <c r="H16" s="24" t="s">
        <v>135</v>
      </c>
      <c r="I16" s="5">
        <f>D16</f>
        <v>13440</v>
      </c>
      <c r="J16" s="8">
        <f>E16</f>
        <v>-98.27</v>
      </c>
      <c r="K16" s="16" t="str">
        <f>IF(MIN(0.25*J13, 0.5*O13*L13*$C$3/$C$4) &lt; ABS(J16), "JA", "NEIN")</f>
        <v>NEIN</v>
      </c>
      <c r="L16" s="9">
        <f>IF(K16="JA", ABS(J16)/$J$13, 0)</f>
        <v>0</v>
      </c>
      <c r="M16" s="9">
        <f>IF(K16="JA", MIN(($N$13-2*$K$13*$M$13)/$N$13, 0.5), 0)</f>
        <v>0</v>
      </c>
      <c r="N16" s="13">
        <f>MIN($I$13, $I$13*(1-L16)/(1-0.5*M16))</f>
        <v>23950</v>
      </c>
      <c r="O16" s="9">
        <f>ABS(J16)/$J$13</f>
        <v>5.7501462843768281E-2</v>
      </c>
      <c r="P16" s="9">
        <f>I16/N16</f>
        <v>0.56116910229645089</v>
      </c>
      <c r="Q16" s="41" t="str">
        <f>IF(P16&lt;1,"OK!","NG!")</f>
        <v>OK!</v>
      </c>
    </row>
    <row r="17" spans="2:18" ht="15.75" thickBot="1" x14ac:dyDescent="0.3">
      <c r="B17" s="42"/>
      <c r="F17" s="22"/>
      <c r="H17" s="51" t="s">
        <v>136</v>
      </c>
      <c r="I17" s="36">
        <f>D22</f>
        <v>12190</v>
      </c>
      <c r="J17" s="43">
        <f>E22</f>
        <v>-140.09</v>
      </c>
      <c r="K17" s="52" t="str">
        <f>IF(MIN(0.25*J13, 0.5*O13*L13*$C$3/$C$4) &lt; ABS(J17), "JA", "NEIN")</f>
        <v>NEIN</v>
      </c>
      <c r="L17" s="26">
        <f>IF(K17="JA", ABS(J17)/$J$13, 0)</f>
        <v>0</v>
      </c>
      <c r="M17" s="26">
        <f>IF(K17="JA", MIN(($N$13-2*$K$13*$M$13)/$N$13, 0.5), 0)</f>
        <v>0</v>
      </c>
      <c r="N17" s="53">
        <f>MIN($I$13, $I$13*(1-L17)/(1-0.5*M17))</f>
        <v>23950</v>
      </c>
      <c r="O17" s="26">
        <f>ABS(J17)/$J$13</f>
        <v>8.1971913399648919E-2</v>
      </c>
      <c r="P17" s="26">
        <f>I17/N17</f>
        <v>0.50897703549060547</v>
      </c>
      <c r="Q17" s="54" t="str">
        <f>IF(P17&lt;1,"OK!","NG!")</f>
        <v>OK!</v>
      </c>
    </row>
    <row r="18" spans="2:18" x14ac:dyDescent="0.25">
      <c r="B18" s="55" t="s">
        <v>137</v>
      </c>
      <c r="C18" s="165">
        <v>22</v>
      </c>
      <c r="D18" s="46" t="s">
        <v>89</v>
      </c>
      <c r="E18" s="46" t="s">
        <v>91</v>
      </c>
      <c r="F18" s="49" t="s">
        <v>90</v>
      </c>
    </row>
    <row r="19" spans="2:18" x14ac:dyDescent="0.25">
      <c r="B19" s="184" t="s">
        <v>136</v>
      </c>
      <c r="C19" s="57" t="s">
        <v>138</v>
      </c>
      <c r="D19" s="189">
        <v>12190</v>
      </c>
      <c r="E19" s="189">
        <v>-28.49</v>
      </c>
      <c r="F19" s="163">
        <v>0</v>
      </c>
    </row>
    <row r="20" spans="2:18" x14ac:dyDescent="0.25">
      <c r="B20" s="184"/>
      <c r="C20" s="57" t="s">
        <v>129</v>
      </c>
      <c r="D20" s="104">
        <v>0</v>
      </c>
      <c r="E20" s="189">
        <v>-111.6</v>
      </c>
      <c r="F20" s="163">
        <v>0</v>
      </c>
    </row>
    <row r="21" spans="2:18" x14ac:dyDescent="0.25">
      <c r="B21" s="184"/>
      <c r="C21" s="57" t="s">
        <v>130</v>
      </c>
      <c r="D21" s="4"/>
      <c r="E21" s="4"/>
      <c r="F21" s="47"/>
    </row>
    <row r="22" spans="2:18" ht="15.75" thickBot="1" x14ac:dyDescent="0.3">
      <c r="B22" s="186"/>
      <c r="C22" s="59" t="s">
        <v>139</v>
      </c>
      <c r="D22" s="36">
        <f>SUM(D19:D21)</f>
        <v>12190</v>
      </c>
      <c r="E22" s="43">
        <f t="shared" ref="E22" si="1">SUM(E19:E21)</f>
        <v>-140.09</v>
      </c>
      <c r="F22" s="37">
        <f t="shared" ref="F22" si="2">SUM(F19:F21)</f>
        <v>0</v>
      </c>
    </row>
    <row r="24" spans="2:18" x14ac:dyDescent="0.25">
      <c r="B24" s="10" t="s">
        <v>211</v>
      </c>
      <c r="N24" s="9"/>
      <c r="O24" s="9"/>
      <c r="P24" s="17"/>
    </row>
    <row r="25" spans="2:18" ht="15.75" thickBot="1" x14ac:dyDescent="0.3"/>
    <row r="26" spans="2:18" x14ac:dyDescent="0.25">
      <c r="B26" s="29" t="s">
        <v>208</v>
      </c>
      <c r="C26" s="38"/>
      <c r="D26" s="38"/>
      <c r="E26" s="38"/>
      <c r="F26" s="39"/>
      <c r="H26" s="63" t="s">
        <v>209</v>
      </c>
      <c r="I26" s="64"/>
      <c r="J26" s="64"/>
      <c r="K26" s="64"/>
      <c r="L26" s="64"/>
      <c r="M26" s="64"/>
      <c r="N26" s="64"/>
      <c r="O26" s="64"/>
      <c r="P26" s="64"/>
      <c r="Q26" s="64"/>
      <c r="R26" s="65"/>
    </row>
    <row r="27" spans="2:18" x14ac:dyDescent="0.25">
      <c r="B27" s="55" t="s">
        <v>137</v>
      </c>
      <c r="C27" s="165">
        <v>2</v>
      </c>
      <c r="D27" s="17" t="s">
        <v>89</v>
      </c>
      <c r="E27" s="17" t="s">
        <v>91</v>
      </c>
      <c r="F27" s="32" t="s">
        <v>90</v>
      </c>
      <c r="H27" s="66" t="s">
        <v>63</v>
      </c>
      <c r="I27" s="67" t="s">
        <v>64</v>
      </c>
      <c r="J27" s="67" t="s">
        <v>69</v>
      </c>
      <c r="K27" s="68" t="s">
        <v>73</v>
      </c>
      <c r="L27" s="67" t="s">
        <v>68</v>
      </c>
      <c r="M27" s="46" t="s">
        <v>222</v>
      </c>
      <c r="N27" s="67" t="s">
        <v>70</v>
      </c>
      <c r="O27" s="67" t="s">
        <v>72</v>
      </c>
      <c r="P27" s="67" t="s">
        <v>74</v>
      </c>
      <c r="Q27" s="67" t="s">
        <v>25</v>
      </c>
      <c r="R27" s="69" t="s">
        <v>75</v>
      </c>
    </row>
    <row r="28" spans="2:18" x14ac:dyDescent="0.25">
      <c r="B28" s="184" t="s">
        <v>135</v>
      </c>
      <c r="C28" s="57" t="s">
        <v>138</v>
      </c>
      <c r="D28" s="189">
        <v>158</v>
      </c>
      <c r="E28" s="189">
        <v>1642</v>
      </c>
      <c r="F28" s="163">
        <v>0</v>
      </c>
      <c r="H28" s="74" t="str">
        <f>'Cross Sections and Materials'!B9</f>
        <v>HEB 650</v>
      </c>
      <c r="I28" s="16">
        <f>'Cross Sections and Materials'!G9</f>
        <v>286.3</v>
      </c>
      <c r="J28" s="16">
        <f>'Cross Sections and Materials'!J9</f>
        <v>6.87</v>
      </c>
      <c r="K28" s="16">
        <f>'Cross Sections and Materials'!L9</f>
        <v>0.34</v>
      </c>
      <c r="L28" s="4">
        <v>350</v>
      </c>
      <c r="M28" s="4">
        <v>1</v>
      </c>
      <c r="N28" s="5">
        <f>M28*L28</f>
        <v>350</v>
      </c>
      <c r="O28" s="9">
        <f>N28/J28/$C$6</f>
        <v>0.54255742970393406</v>
      </c>
      <c r="P28" s="6">
        <f>0.5*(1+K28*(O28-0.2)+O28^2)</f>
        <v>0.70541904531313848</v>
      </c>
      <c r="Q28" s="9">
        <f>MIN(1/(P28+SQRT(P28^2-O28^2)), 1)</f>
        <v>0.86486576473449372</v>
      </c>
      <c r="R28" s="60">
        <f>Q28*I28*$C$3/$C$5</f>
        <v>5289.8728258381007</v>
      </c>
    </row>
    <row r="29" spans="2:18" x14ac:dyDescent="0.25">
      <c r="B29" s="184"/>
      <c r="C29" s="57" t="s">
        <v>129</v>
      </c>
      <c r="D29" s="104">
        <v>-1115</v>
      </c>
      <c r="E29" s="189">
        <v>125.7</v>
      </c>
      <c r="F29" s="163">
        <v>0</v>
      </c>
      <c r="H29" s="21"/>
      <c r="R29" s="22"/>
    </row>
    <row r="30" spans="2:18" x14ac:dyDescent="0.25">
      <c r="B30" s="184"/>
      <c r="C30" s="57" t="s">
        <v>130</v>
      </c>
      <c r="D30" s="4"/>
      <c r="E30" s="4"/>
      <c r="F30" s="47"/>
      <c r="H30" s="21"/>
      <c r="I30" s="2" t="s">
        <v>91</v>
      </c>
      <c r="J30" s="14" t="s">
        <v>67</v>
      </c>
      <c r="R30" s="22"/>
    </row>
    <row r="31" spans="2:18" x14ac:dyDescent="0.25">
      <c r="B31" s="185"/>
      <c r="C31" s="58" t="s">
        <v>139</v>
      </c>
      <c r="D31" s="44">
        <f>SUM(D28:D30)</f>
        <v>-957</v>
      </c>
      <c r="E31" s="45">
        <f t="shared" ref="E31" si="3">SUM(E28:E30)</f>
        <v>1767.7</v>
      </c>
      <c r="F31" s="48">
        <f t="shared" ref="F31" si="4">SUM(F28:F30)</f>
        <v>0</v>
      </c>
      <c r="G31" s="17"/>
      <c r="H31" s="24" t="s">
        <v>135</v>
      </c>
      <c r="I31" s="72">
        <f>E31</f>
        <v>1767.7</v>
      </c>
      <c r="J31" s="9">
        <f>I31/$R$28</f>
        <v>0.33416682370240813</v>
      </c>
      <c r="K31" s="2" t="str">
        <f>IF(J31&lt;1,"OK!","NG!")</f>
        <v>OK!</v>
      </c>
      <c r="R31" s="22"/>
    </row>
    <row r="32" spans="2:18" ht="15.75" thickBot="1" x14ac:dyDescent="0.3">
      <c r="B32" s="42"/>
      <c r="F32" s="22"/>
      <c r="G32" s="6"/>
      <c r="H32" s="51" t="s">
        <v>136</v>
      </c>
      <c r="I32" s="61">
        <f>E37</f>
        <v>1717.5</v>
      </c>
      <c r="J32" s="26">
        <f>I32/$R$28</f>
        <v>0.32467699253769639</v>
      </c>
      <c r="K32" s="62" t="str">
        <f>IF(J32&lt;1,"OK!","NG!")</f>
        <v>OK!</v>
      </c>
      <c r="L32" s="27"/>
      <c r="M32" s="27"/>
      <c r="N32" s="27"/>
      <c r="O32" s="27"/>
      <c r="P32" s="27"/>
      <c r="Q32" s="27"/>
      <c r="R32" s="28"/>
    </row>
    <row r="33" spans="2:26" x14ac:dyDescent="0.25">
      <c r="B33" s="55" t="s">
        <v>137</v>
      </c>
      <c r="C33" s="165">
        <v>2</v>
      </c>
      <c r="D33" s="46" t="s">
        <v>89</v>
      </c>
      <c r="E33" s="46" t="s">
        <v>91</v>
      </c>
      <c r="F33" s="49" t="s">
        <v>90</v>
      </c>
      <c r="G33" s="6"/>
      <c r="H33" s="19"/>
      <c r="I33" s="8"/>
    </row>
    <row r="34" spans="2:26" x14ac:dyDescent="0.25">
      <c r="B34" s="184" t="s">
        <v>136</v>
      </c>
      <c r="C34" s="57" t="s">
        <v>138</v>
      </c>
      <c r="D34" s="189">
        <v>145.30000000000001</v>
      </c>
      <c r="E34" s="189">
        <v>1509</v>
      </c>
      <c r="F34" s="163">
        <v>0</v>
      </c>
      <c r="H34" t="s">
        <v>212</v>
      </c>
    </row>
    <row r="35" spans="2:26" x14ac:dyDescent="0.25">
      <c r="B35" s="184"/>
      <c r="C35" s="57" t="s">
        <v>129</v>
      </c>
      <c r="D35" s="189">
        <v>-1849</v>
      </c>
      <c r="E35" s="189">
        <v>208.5</v>
      </c>
      <c r="F35" s="163">
        <v>0</v>
      </c>
      <c r="H35" t="s">
        <v>213</v>
      </c>
    </row>
    <row r="36" spans="2:26" x14ac:dyDescent="0.25">
      <c r="B36" s="184"/>
      <c r="C36" s="57" t="s">
        <v>130</v>
      </c>
      <c r="D36" s="4"/>
      <c r="E36" s="4"/>
      <c r="F36" s="47"/>
      <c r="G36" s="2"/>
      <c r="H36" s="3"/>
      <c r="I36" s="2"/>
      <c r="J36" s="2"/>
      <c r="K36" s="2"/>
      <c r="L36" s="2"/>
      <c r="M36" s="2"/>
      <c r="N36" s="2"/>
      <c r="O36" s="14"/>
    </row>
    <row r="37" spans="2:26" ht="15.75" thickBot="1" x14ac:dyDescent="0.3">
      <c r="B37" s="186"/>
      <c r="C37" s="59" t="s">
        <v>139</v>
      </c>
      <c r="D37" s="36">
        <f>SUM(D34:D36)</f>
        <v>-1703.7</v>
      </c>
      <c r="E37" s="43">
        <f t="shared" ref="E37" si="5">SUM(E34:E36)</f>
        <v>1717.5</v>
      </c>
      <c r="F37" s="37">
        <f t="shared" ref="F37" si="6">SUM(F34:F36)</f>
        <v>0</v>
      </c>
      <c r="G37" s="5"/>
      <c r="H37" s="5"/>
      <c r="I37" s="8"/>
      <c r="J37" s="5"/>
      <c r="K37" s="9"/>
      <c r="L37" s="6"/>
      <c r="M37" s="9"/>
      <c r="N37" s="6"/>
      <c r="O37" s="9"/>
      <c r="P37" s="2"/>
    </row>
    <row r="38" spans="2:26" x14ac:dyDescent="0.25">
      <c r="D38" s="4"/>
      <c r="E38" s="5"/>
      <c r="F38" s="18"/>
      <c r="G38" s="5"/>
      <c r="H38" s="5"/>
      <c r="I38" s="8"/>
      <c r="J38" s="5"/>
      <c r="K38" s="9"/>
      <c r="L38" s="6"/>
      <c r="M38" s="9"/>
      <c r="N38" s="6"/>
      <c r="O38" s="9"/>
      <c r="P38" s="2"/>
    </row>
    <row r="39" spans="2:26" x14ac:dyDescent="0.25">
      <c r="B39" s="10" t="s">
        <v>221</v>
      </c>
      <c r="D39" s="4"/>
      <c r="G39" s="5"/>
      <c r="H39" s="5"/>
      <c r="I39" s="8"/>
      <c r="J39" s="5"/>
      <c r="K39" s="9"/>
      <c r="L39" s="6"/>
      <c r="M39" s="9"/>
      <c r="N39" s="6"/>
      <c r="O39" s="9"/>
      <c r="P39" s="2"/>
    </row>
    <row r="40" spans="2:26" ht="15.75" thickBot="1" x14ac:dyDescent="0.3">
      <c r="B40" s="10"/>
      <c r="D40" s="4"/>
      <c r="E40" s="2"/>
      <c r="F40" s="2"/>
      <c r="G40" s="2"/>
      <c r="H40" s="14"/>
      <c r="J40" s="5"/>
      <c r="K40" s="9"/>
      <c r="L40" s="6"/>
      <c r="M40" s="9"/>
      <c r="N40" s="6"/>
      <c r="O40" s="9"/>
      <c r="P40" s="2"/>
    </row>
    <row r="41" spans="2:26" x14ac:dyDescent="0.25">
      <c r="B41" s="29" t="s">
        <v>208</v>
      </c>
      <c r="C41" s="38"/>
      <c r="D41" s="70" t="s">
        <v>217</v>
      </c>
      <c r="E41" s="70"/>
      <c r="F41" s="71"/>
      <c r="H41" s="29" t="s">
        <v>208</v>
      </c>
      <c r="I41" s="38"/>
      <c r="J41" s="182" t="s">
        <v>218</v>
      </c>
      <c r="K41" s="182"/>
      <c r="L41" s="183"/>
      <c r="N41" s="63" t="s">
        <v>209</v>
      </c>
      <c r="O41" s="38"/>
      <c r="P41" s="38"/>
      <c r="Q41" s="64"/>
      <c r="R41" s="64"/>
      <c r="S41" s="64"/>
      <c r="T41" s="64"/>
      <c r="U41" s="64"/>
      <c r="V41" s="64"/>
      <c r="W41" s="64"/>
      <c r="X41" s="64"/>
      <c r="Y41" s="64"/>
      <c r="Z41" s="65"/>
    </row>
    <row r="42" spans="2:26" x14ac:dyDescent="0.25">
      <c r="B42" s="55" t="s">
        <v>137</v>
      </c>
      <c r="C42" s="165">
        <v>30</v>
      </c>
      <c r="D42" s="17" t="s">
        <v>89</v>
      </c>
      <c r="E42" s="17" t="s">
        <v>91</v>
      </c>
      <c r="F42" s="32" t="s">
        <v>90</v>
      </c>
      <c r="H42" s="55" t="s">
        <v>137</v>
      </c>
      <c r="I42" s="56">
        <v>33</v>
      </c>
      <c r="J42" s="17" t="s">
        <v>89</v>
      </c>
      <c r="K42" s="17" t="s">
        <v>91</v>
      </c>
      <c r="L42" s="32" t="s">
        <v>90</v>
      </c>
      <c r="N42" s="66" t="s">
        <v>63</v>
      </c>
      <c r="O42" s="2" t="s">
        <v>48</v>
      </c>
      <c r="P42" s="2" t="s">
        <v>219</v>
      </c>
      <c r="Q42" s="67" t="s">
        <v>64</v>
      </c>
      <c r="R42" s="67" t="s">
        <v>69</v>
      </c>
      <c r="S42" s="68" t="s">
        <v>73</v>
      </c>
      <c r="T42" s="67" t="s">
        <v>68</v>
      </c>
      <c r="U42" s="67" t="s">
        <v>70</v>
      </c>
      <c r="V42" s="67" t="s">
        <v>72</v>
      </c>
      <c r="W42" s="67" t="s">
        <v>74</v>
      </c>
      <c r="X42" s="67" t="s">
        <v>25</v>
      </c>
      <c r="Y42" s="67" t="s">
        <v>66</v>
      </c>
      <c r="Z42" s="69" t="s">
        <v>75</v>
      </c>
    </row>
    <row r="43" spans="2:26" x14ac:dyDescent="0.25">
      <c r="B43" s="184" t="s">
        <v>135</v>
      </c>
      <c r="C43" s="57" t="s">
        <v>138</v>
      </c>
      <c r="D43" s="104">
        <v>0</v>
      </c>
      <c r="E43" s="189">
        <v>39.89</v>
      </c>
      <c r="F43" s="163">
        <v>0</v>
      </c>
      <c r="H43" s="184" t="s">
        <v>135</v>
      </c>
      <c r="I43" s="57" t="s">
        <v>138</v>
      </c>
      <c r="J43" s="104">
        <v>0</v>
      </c>
      <c r="K43" s="189">
        <v>39.89</v>
      </c>
      <c r="L43" s="163">
        <v>0</v>
      </c>
      <c r="N43" s="74" t="str">
        <f>'Cross Sections and Materials'!C13</f>
        <v>CHS 193.7x6</v>
      </c>
      <c r="O43" s="104">
        <v>350</v>
      </c>
      <c r="P43" s="104">
        <v>700</v>
      </c>
      <c r="Q43" s="18">
        <f>'Cross Sections and Materials'!F13</f>
        <v>35.380000000000003</v>
      </c>
      <c r="R43" s="18">
        <f>'Cross Sections and Materials'!G13</f>
        <v>6.64</v>
      </c>
      <c r="S43" s="18">
        <f>'Cross Sections and Materials'!I13</f>
        <v>0.49</v>
      </c>
      <c r="T43" s="8">
        <f>SQRT(O43^2+P43^2)</f>
        <v>782.62379212492635</v>
      </c>
      <c r="U43" s="5">
        <f>0.8*T43</f>
        <v>626.09903369994117</v>
      </c>
      <c r="V43" s="9">
        <f>U43/R43/$C$6</f>
        <v>1.0041749004002289</v>
      </c>
      <c r="W43" s="6">
        <f>0.5*(1+S43*(V43-0.2)+V43^2)</f>
        <v>1.2012064658949608</v>
      </c>
      <c r="X43" s="9">
        <f>MIN(1/(W43+SQRT(W43^2-V43^2)), 1)</f>
        <v>0.53752020966438308</v>
      </c>
      <c r="Y43" s="5">
        <f>Q43*$C$3/$C$4</f>
        <v>831.43000000000006</v>
      </c>
      <c r="Z43" s="60">
        <f>X43*Q43*$C$3/$C$5</f>
        <v>406.28220720114365</v>
      </c>
    </row>
    <row r="44" spans="2:26" x14ac:dyDescent="0.25">
      <c r="B44" s="184"/>
      <c r="C44" s="57" t="s">
        <v>129</v>
      </c>
      <c r="D44" s="104">
        <v>0</v>
      </c>
      <c r="E44" s="189">
        <v>-87.26</v>
      </c>
      <c r="F44" s="163">
        <v>0</v>
      </c>
      <c r="H44" s="184"/>
      <c r="I44" s="57" t="s">
        <v>129</v>
      </c>
      <c r="J44" s="104">
        <v>0</v>
      </c>
      <c r="K44" s="189">
        <v>86.42</v>
      </c>
      <c r="L44" s="163">
        <v>0</v>
      </c>
      <c r="N44" s="21"/>
      <c r="Z44" s="22"/>
    </row>
    <row r="45" spans="2:26" x14ac:dyDescent="0.25">
      <c r="B45" s="184"/>
      <c r="C45" s="57" t="s">
        <v>130</v>
      </c>
      <c r="D45" s="4"/>
      <c r="E45" s="4"/>
      <c r="F45" s="47"/>
      <c r="H45" s="184"/>
      <c r="I45" s="57" t="s">
        <v>130</v>
      </c>
      <c r="J45" s="4"/>
      <c r="K45" s="4"/>
      <c r="L45" s="47"/>
      <c r="N45" s="21"/>
      <c r="O45" s="187" t="s">
        <v>215</v>
      </c>
      <c r="P45" s="187"/>
      <c r="Q45" s="187"/>
      <c r="S45" s="187" t="s">
        <v>216</v>
      </c>
      <c r="T45" s="187"/>
      <c r="U45" s="187"/>
      <c r="Z45" s="22"/>
    </row>
    <row r="46" spans="2:26" x14ac:dyDescent="0.25">
      <c r="B46" s="185"/>
      <c r="C46" s="58" t="s">
        <v>139</v>
      </c>
      <c r="D46" s="44">
        <f>SUM(D43:D45)</f>
        <v>0</v>
      </c>
      <c r="E46" s="45">
        <f t="shared" ref="E46:F46" si="7">SUM(E43:E45)</f>
        <v>-47.370000000000005</v>
      </c>
      <c r="F46" s="48">
        <f t="shared" si="7"/>
        <v>0</v>
      </c>
      <c r="H46" s="185"/>
      <c r="I46" s="58" t="s">
        <v>139</v>
      </c>
      <c r="J46" s="44">
        <f>SUM(J43:J45)</f>
        <v>0</v>
      </c>
      <c r="K46" s="45">
        <f t="shared" ref="K46:L46" si="8">SUM(K43:K45)</f>
        <v>126.31</v>
      </c>
      <c r="L46" s="48">
        <f t="shared" si="8"/>
        <v>0</v>
      </c>
      <c r="N46" s="21"/>
      <c r="O46" s="2" t="s">
        <v>91</v>
      </c>
      <c r="P46" s="14" t="s">
        <v>67</v>
      </c>
      <c r="S46" s="2" t="s">
        <v>91</v>
      </c>
      <c r="T46" s="14" t="s">
        <v>67</v>
      </c>
      <c r="Z46" s="22"/>
    </row>
    <row r="47" spans="2:26" x14ac:dyDescent="0.25">
      <c r="B47" s="42"/>
      <c r="F47" s="22"/>
      <c r="H47" s="42"/>
      <c r="L47" s="22"/>
      <c r="N47" s="24" t="s">
        <v>135</v>
      </c>
      <c r="O47" s="78">
        <f>K46</f>
        <v>126.31</v>
      </c>
      <c r="P47" s="9">
        <f>O47/$Z$43</f>
        <v>0.31089227576600714</v>
      </c>
      <c r="Q47" s="2" t="str">
        <f>IF(P47&lt;1,"OK!","NG!")</f>
        <v>OK!</v>
      </c>
      <c r="S47" s="6">
        <f>ABS(MIN(E46,0))</f>
        <v>47.370000000000005</v>
      </c>
      <c r="T47" s="9">
        <f>S47/$Y$43</f>
        <v>5.6974128910431424E-2</v>
      </c>
      <c r="U47" s="2" t="str">
        <f>IF(T47&lt;1,"OK!","NG!")</f>
        <v>OK!</v>
      </c>
      <c r="Z47" s="22"/>
    </row>
    <row r="48" spans="2:26" ht="15.75" thickBot="1" x14ac:dyDescent="0.3">
      <c r="B48" s="55" t="s">
        <v>137</v>
      </c>
      <c r="C48" s="165">
        <v>30</v>
      </c>
      <c r="D48" s="75" t="s">
        <v>89</v>
      </c>
      <c r="E48" s="46" t="s">
        <v>91</v>
      </c>
      <c r="F48" s="49" t="s">
        <v>90</v>
      </c>
      <c r="H48" s="55" t="s">
        <v>137</v>
      </c>
      <c r="I48" s="56">
        <v>33</v>
      </c>
      <c r="J48" s="75" t="s">
        <v>89</v>
      </c>
      <c r="K48" s="46" t="s">
        <v>91</v>
      </c>
      <c r="L48" s="49" t="s">
        <v>90</v>
      </c>
      <c r="N48" s="51" t="s">
        <v>136</v>
      </c>
      <c r="O48" s="79">
        <f>K52</f>
        <v>179.96</v>
      </c>
      <c r="P48" s="26">
        <f>O48/$Z$43</f>
        <v>0.44294334531589458</v>
      </c>
      <c r="Q48" s="62" t="str">
        <f>IF(P48&lt;1,"OK!","NG!")</f>
        <v>OK!</v>
      </c>
      <c r="R48" s="27"/>
      <c r="S48" s="80">
        <f>ABS(MIN(E52,0))</f>
        <v>107.94</v>
      </c>
      <c r="T48" s="26">
        <f>S48/$Y$43</f>
        <v>0.12982451920185703</v>
      </c>
      <c r="U48" s="62" t="str">
        <f>IF(T48&lt;1,"OK!","NG!")</f>
        <v>OK!</v>
      </c>
      <c r="V48" s="27"/>
      <c r="W48" s="27"/>
      <c r="X48" s="27"/>
      <c r="Y48" s="27"/>
      <c r="Z48" s="28"/>
    </row>
    <row r="49" spans="2:26" x14ac:dyDescent="0.25">
      <c r="B49" s="184" t="s">
        <v>136</v>
      </c>
      <c r="C49" s="57" t="s">
        <v>138</v>
      </c>
      <c r="D49" s="104">
        <v>0</v>
      </c>
      <c r="E49" s="189">
        <v>36.659999999999997</v>
      </c>
      <c r="F49" s="163">
        <v>0</v>
      </c>
      <c r="H49" s="184" t="s">
        <v>136</v>
      </c>
      <c r="I49" s="57" t="s">
        <v>138</v>
      </c>
      <c r="J49" s="104">
        <v>0</v>
      </c>
      <c r="K49" s="189">
        <v>36.659999999999997</v>
      </c>
      <c r="L49" s="163">
        <v>0</v>
      </c>
    </row>
    <row r="50" spans="2:26" x14ac:dyDescent="0.25">
      <c r="B50" s="184"/>
      <c r="C50" s="57" t="s">
        <v>129</v>
      </c>
      <c r="D50" s="104">
        <v>0</v>
      </c>
      <c r="E50" s="189">
        <v>-144.6</v>
      </c>
      <c r="F50" s="163">
        <v>0</v>
      </c>
      <c r="H50" s="184"/>
      <c r="I50" s="57" t="s">
        <v>129</v>
      </c>
      <c r="J50" s="104">
        <v>0</v>
      </c>
      <c r="K50" s="189">
        <v>143.30000000000001</v>
      </c>
      <c r="L50" s="163">
        <v>0</v>
      </c>
      <c r="N50" t="s">
        <v>220</v>
      </c>
    </row>
    <row r="51" spans="2:26" x14ac:dyDescent="0.25">
      <c r="B51" s="184"/>
      <c r="C51" s="57" t="s">
        <v>130</v>
      </c>
      <c r="D51" s="4"/>
      <c r="E51" s="4"/>
      <c r="F51" s="47"/>
      <c r="H51" s="184"/>
      <c r="I51" s="57" t="s">
        <v>130</v>
      </c>
      <c r="J51" s="4"/>
      <c r="K51" s="4"/>
      <c r="L51" s="47"/>
    </row>
    <row r="52" spans="2:26" ht="15.75" thickBot="1" x14ac:dyDescent="0.3">
      <c r="B52" s="186"/>
      <c r="C52" s="59" t="s">
        <v>139</v>
      </c>
      <c r="D52" s="36">
        <f>SUM(D49:D51)</f>
        <v>0</v>
      </c>
      <c r="E52" s="43">
        <f t="shared" ref="E52:F52" si="9">SUM(E49:E51)</f>
        <v>-107.94</v>
      </c>
      <c r="F52" s="37">
        <f t="shared" si="9"/>
        <v>0</v>
      </c>
      <c r="H52" s="186"/>
      <c r="I52" s="59" t="s">
        <v>139</v>
      </c>
      <c r="J52" s="36">
        <f>SUM(J49:J51)</f>
        <v>0</v>
      </c>
      <c r="K52" s="43">
        <f t="shared" ref="K52:L52" si="10">SUM(K49:K51)</f>
        <v>179.96</v>
      </c>
      <c r="L52" s="37">
        <f t="shared" si="10"/>
        <v>0</v>
      </c>
    </row>
    <row r="54" spans="2:26" x14ac:dyDescent="0.25">
      <c r="B54" s="10" t="s">
        <v>223</v>
      </c>
      <c r="D54" s="4"/>
      <c r="G54" s="5"/>
      <c r="H54" s="5"/>
      <c r="I54" s="8"/>
      <c r="J54" s="5"/>
      <c r="K54" s="9"/>
      <c r="L54" s="6"/>
      <c r="M54" s="9"/>
    </row>
    <row r="55" spans="2:26" ht="15.75" thickBot="1" x14ac:dyDescent="0.3">
      <c r="B55" s="10"/>
      <c r="D55" s="4"/>
      <c r="E55" s="2"/>
      <c r="F55" s="2"/>
      <c r="G55" s="2"/>
      <c r="H55" s="14"/>
      <c r="J55" s="5"/>
      <c r="K55" s="9"/>
      <c r="L55" s="6"/>
      <c r="M55" s="9"/>
    </row>
    <row r="56" spans="2:26" x14ac:dyDescent="0.25">
      <c r="B56" s="29" t="s">
        <v>208</v>
      </c>
      <c r="C56" s="38"/>
      <c r="D56" s="70" t="s">
        <v>217</v>
      </c>
      <c r="E56" s="70"/>
      <c r="F56" s="71"/>
      <c r="H56" s="29" t="s">
        <v>208</v>
      </c>
      <c r="I56" s="38"/>
      <c r="J56" s="150" t="s">
        <v>218</v>
      </c>
      <c r="K56" s="150"/>
      <c r="L56" s="151"/>
      <c r="N56" s="63" t="s">
        <v>209</v>
      </c>
      <c r="O56" s="38"/>
      <c r="P56" s="38"/>
      <c r="Q56" s="64"/>
      <c r="R56" s="64"/>
      <c r="S56" s="64"/>
      <c r="T56" s="64"/>
      <c r="U56" s="64"/>
      <c r="V56" s="64"/>
      <c r="W56" s="64"/>
      <c r="X56" s="64"/>
      <c r="Y56" s="64"/>
      <c r="Z56" s="65"/>
    </row>
    <row r="57" spans="2:26" x14ac:dyDescent="0.25">
      <c r="B57" s="55" t="s">
        <v>137</v>
      </c>
      <c r="C57" s="165">
        <v>31</v>
      </c>
      <c r="D57" s="17" t="s">
        <v>89</v>
      </c>
      <c r="E57" s="17" t="s">
        <v>91</v>
      </c>
      <c r="F57" s="32" t="s">
        <v>90</v>
      </c>
      <c r="H57" s="55" t="s">
        <v>137</v>
      </c>
      <c r="I57" s="165">
        <v>34</v>
      </c>
      <c r="J57" s="17" t="s">
        <v>89</v>
      </c>
      <c r="K57" s="17" t="s">
        <v>91</v>
      </c>
      <c r="L57" s="32" t="s">
        <v>90</v>
      </c>
      <c r="N57" s="66" t="s">
        <v>63</v>
      </c>
      <c r="O57" s="2" t="s">
        <v>48</v>
      </c>
      <c r="P57" s="2" t="s">
        <v>219</v>
      </c>
      <c r="Q57" s="67" t="s">
        <v>64</v>
      </c>
      <c r="R57" s="67" t="s">
        <v>69</v>
      </c>
      <c r="S57" s="68" t="s">
        <v>73</v>
      </c>
      <c r="T57" s="67" t="s">
        <v>68</v>
      </c>
      <c r="U57" s="67" t="s">
        <v>70</v>
      </c>
      <c r="V57" s="67" t="s">
        <v>72</v>
      </c>
      <c r="W57" s="67" t="s">
        <v>74</v>
      </c>
      <c r="X57" s="67" t="s">
        <v>25</v>
      </c>
      <c r="Y57" s="67" t="s">
        <v>66</v>
      </c>
      <c r="Z57" s="69" t="s">
        <v>75</v>
      </c>
    </row>
    <row r="58" spans="2:26" x14ac:dyDescent="0.25">
      <c r="B58" s="184" t="s">
        <v>135</v>
      </c>
      <c r="C58" s="57" t="s">
        <v>138</v>
      </c>
      <c r="D58" s="104">
        <v>0</v>
      </c>
      <c r="E58" s="189">
        <v>39.03</v>
      </c>
      <c r="F58" s="163">
        <v>0</v>
      </c>
      <c r="H58" s="184" t="s">
        <v>135</v>
      </c>
      <c r="I58" s="57" t="s">
        <v>138</v>
      </c>
      <c r="J58" s="104">
        <v>0</v>
      </c>
      <c r="K58" s="189">
        <v>39.03</v>
      </c>
      <c r="L58" s="163">
        <v>0</v>
      </c>
      <c r="N58" s="76" t="str">
        <f>'Cross Sections and Materials'!C14</f>
        <v>CHS 193.7x6</v>
      </c>
      <c r="O58" s="104">
        <v>350</v>
      </c>
      <c r="P58" s="104">
        <v>700</v>
      </c>
      <c r="Q58" s="77">
        <f>'Cross Sections and Materials'!F14</f>
        <v>35.380000000000003</v>
      </c>
      <c r="R58" s="77">
        <f>'Cross Sections and Materials'!G14</f>
        <v>6.64</v>
      </c>
      <c r="S58" s="77">
        <f>'Cross Sections and Materials'!I14</f>
        <v>0.49</v>
      </c>
      <c r="T58" s="8">
        <f>SQRT(O58^2+P58^2)</f>
        <v>782.62379212492635</v>
      </c>
      <c r="U58" s="5">
        <f>0.8*T58</f>
        <v>626.09903369994117</v>
      </c>
      <c r="V58" s="9">
        <f>U58/R58/$C$6</f>
        <v>1.0041749004002289</v>
      </c>
      <c r="W58" s="6">
        <f>0.5*(1+S58*(V58-0.2)+V58^2)</f>
        <v>1.2012064658949608</v>
      </c>
      <c r="X58" s="9">
        <f>MIN(1/(W58+SQRT(W58^2-V58^2)), 1)</f>
        <v>0.53752020966438308</v>
      </c>
      <c r="Y58" s="5">
        <f>Q58*$C$3/$C$4</f>
        <v>831.43000000000006</v>
      </c>
      <c r="Z58" s="60">
        <f>X58*Q58*$C$3/$C$5</f>
        <v>406.28220720114365</v>
      </c>
    </row>
    <row r="59" spans="2:26" x14ac:dyDescent="0.25">
      <c r="B59" s="184"/>
      <c r="C59" s="57" t="s">
        <v>129</v>
      </c>
      <c r="D59" s="104">
        <v>0</v>
      </c>
      <c r="E59" s="189">
        <v>-67.430000000000007</v>
      </c>
      <c r="F59" s="163">
        <v>0</v>
      </c>
      <c r="H59" s="184"/>
      <c r="I59" s="57" t="s">
        <v>129</v>
      </c>
      <c r="J59" s="104">
        <v>0</v>
      </c>
      <c r="K59" s="189">
        <v>68.59</v>
      </c>
      <c r="L59" s="163">
        <v>0</v>
      </c>
      <c r="N59" s="21"/>
      <c r="Z59" s="22"/>
    </row>
    <row r="60" spans="2:26" x14ac:dyDescent="0.25">
      <c r="B60" s="184"/>
      <c r="C60" s="57" t="s">
        <v>130</v>
      </c>
      <c r="D60" s="4"/>
      <c r="E60" s="4"/>
      <c r="F60" s="47"/>
      <c r="H60" s="184"/>
      <c r="I60" s="57" t="s">
        <v>130</v>
      </c>
      <c r="J60" s="4"/>
      <c r="K60" s="4"/>
      <c r="L60" s="47"/>
      <c r="N60" s="21"/>
      <c r="O60" s="187" t="s">
        <v>215</v>
      </c>
      <c r="P60" s="187"/>
      <c r="Q60" s="187"/>
      <c r="S60" s="187" t="s">
        <v>216</v>
      </c>
      <c r="T60" s="187"/>
      <c r="U60" s="187"/>
      <c r="Z60" s="22"/>
    </row>
    <row r="61" spans="2:26" x14ac:dyDescent="0.25">
      <c r="B61" s="185"/>
      <c r="C61" s="58" t="s">
        <v>139</v>
      </c>
      <c r="D61" s="44">
        <f>SUM(D58:D60)</f>
        <v>0</v>
      </c>
      <c r="E61" s="45">
        <f t="shared" ref="E61:F61" si="11">SUM(E58:E60)</f>
        <v>-28.400000000000006</v>
      </c>
      <c r="F61" s="48">
        <f t="shared" si="11"/>
        <v>0</v>
      </c>
      <c r="H61" s="185"/>
      <c r="I61" s="58" t="s">
        <v>139</v>
      </c>
      <c r="J61" s="44">
        <f>SUM(J58:J60)</f>
        <v>0</v>
      </c>
      <c r="K61" s="45">
        <f t="shared" ref="K61:L61" si="12">SUM(K58:K60)</f>
        <v>107.62</v>
      </c>
      <c r="L61" s="48">
        <f t="shared" si="12"/>
        <v>0</v>
      </c>
      <c r="N61" s="21"/>
      <c r="O61" s="2" t="s">
        <v>91</v>
      </c>
      <c r="P61" s="14" t="s">
        <v>67</v>
      </c>
      <c r="S61" s="2" t="s">
        <v>91</v>
      </c>
      <c r="T61" s="14" t="s">
        <v>67</v>
      </c>
      <c r="Z61" s="22"/>
    </row>
    <row r="62" spans="2:26" x14ac:dyDescent="0.25">
      <c r="B62" s="42"/>
      <c r="F62" s="22"/>
      <c r="H62" s="42"/>
      <c r="L62" s="22"/>
      <c r="N62" s="24" t="s">
        <v>135</v>
      </c>
      <c r="O62" s="78">
        <f>K61</f>
        <v>107.62</v>
      </c>
      <c r="P62" s="9">
        <f>O62/Z58</f>
        <v>0.26488976896475092</v>
      </c>
      <c r="Q62" s="2" t="str">
        <f>IF(P62&lt;1,"OK!","NG!")</f>
        <v>OK!</v>
      </c>
      <c r="S62" s="6">
        <f>ABS(MIN(E61,0))</f>
        <v>28.400000000000006</v>
      </c>
      <c r="T62" s="9">
        <f>S62/Y58</f>
        <v>3.4158016910623867E-2</v>
      </c>
      <c r="U62" s="2" t="str">
        <f>IF(T62&lt;1,"OK!","NG!")</f>
        <v>OK!</v>
      </c>
      <c r="Z62" s="22"/>
    </row>
    <row r="63" spans="2:26" ht="15.75" thickBot="1" x14ac:dyDescent="0.3">
      <c r="B63" s="55" t="s">
        <v>137</v>
      </c>
      <c r="C63" s="165">
        <v>31</v>
      </c>
      <c r="D63" s="75" t="s">
        <v>89</v>
      </c>
      <c r="E63" s="46" t="s">
        <v>91</v>
      </c>
      <c r="F63" s="49" t="s">
        <v>90</v>
      </c>
      <c r="H63" s="55" t="s">
        <v>137</v>
      </c>
      <c r="I63" s="165">
        <v>34</v>
      </c>
      <c r="J63" s="75" t="s">
        <v>89</v>
      </c>
      <c r="K63" s="46" t="s">
        <v>91</v>
      </c>
      <c r="L63" s="49" t="s">
        <v>90</v>
      </c>
      <c r="N63" s="51" t="s">
        <v>136</v>
      </c>
      <c r="O63" s="79">
        <f>K67</f>
        <v>149.61000000000001</v>
      </c>
      <c r="P63" s="26">
        <f>O63/Z58</f>
        <v>0.3682415753095743</v>
      </c>
      <c r="Q63" s="62" t="str">
        <f>IF(P63&lt;1,"OK!","NG!")</f>
        <v>OK!</v>
      </c>
      <c r="R63" s="27"/>
      <c r="S63" s="80">
        <f>ABS(MIN(E67,0))</f>
        <v>75.89</v>
      </c>
      <c r="T63" s="26">
        <f>S63/Y58</f>
        <v>9.1276475469973417E-2</v>
      </c>
      <c r="U63" s="62" t="str">
        <f>IF(T63&lt;1,"OK!","NG!")</f>
        <v>OK!</v>
      </c>
      <c r="V63" s="27"/>
      <c r="W63" s="27"/>
      <c r="X63" s="27"/>
      <c r="Y63" s="27"/>
      <c r="Z63" s="28"/>
    </row>
    <row r="64" spans="2:26" x14ac:dyDescent="0.25">
      <c r="B64" s="184" t="s">
        <v>136</v>
      </c>
      <c r="C64" s="57" t="s">
        <v>138</v>
      </c>
      <c r="D64" s="104">
        <v>0</v>
      </c>
      <c r="E64" s="189">
        <v>35.909999999999997</v>
      </c>
      <c r="F64" s="163">
        <v>0</v>
      </c>
      <c r="H64" s="184" t="s">
        <v>136</v>
      </c>
      <c r="I64" s="57" t="s">
        <v>138</v>
      </c>
      <c r="J64" s="104">
        <v>0</v>
      </c>
      <c r="K64" s="189">
        <v>35.909999999999997</v>
      </c>
      <c r="L64" s="163">
        <v>0</v>
      </c>
    </row>
    <row r="65" spans="2:26" x14ac:dyDescent="0.25">
      <c r="B65" s="184"/>
      <c r="C65" s="57" t="s">
        <v>129</v>
      </c>
      <c r="D65" s="104">
        <v>0</v>
      </c>
      <c r="E65" s="200">
        <v>-111.8</v>
      </c>
      <c r="F65" s="163">
        <v>0</v>
      </c>
      <c r="H65" s="184"/>
      <c r="I65" s="57" t="s">
        <v>129</v>
      </c>
      <c r="J65" s="104">
        <v>0</v>
      </c>
      <c r="K65" s="189">
        <v>113.7</v>
      </c>
      <c r="L65" s="163">
        <v>0</v>
      </c>
      <c r="N65" t="s">
        <v>220</v>
      </c>
    </row>
    <row r="66" spans="2:26" x14ac:dyDescent="0.25">
      <c r="B66" s="184"/>
      <c r="C66" s="57" t="s">
        <v>130</v>
      </c>
      <c r="D66" s="4"/>
      <c r="E66" s="4"/>
      <c r="F66" s="47"/>
      <c r="H66" s="184"/>
      <c r="I66" s="57" t="s">
        <v>130</v>
      </c>
      <c r="J66" s="4"/>
      <c r="K66" s="4"/>
      <c r="L66" s="47"/>
    </row>
    <row r="67" spans="2:26" ht="15.75" thickBot="1" x14ac:dyDescent="0.3">
      <c r="B67" s="186"/>
      <c r="C67" s="59" t="s">
        <v>139</v>
      </c>
      <c r="D67" s="36">
        <f>SUM(D64:D66)</f>
        <v>0</v>
      </c>
      <c r="E67" s="43">
        <f t="shared" ref="E67:F67" si="13">SUM(E64:E66)</f>
        <v>-75.89</v>
      </c>
      <c r="F67" s="37">
        <f t="shared" si="13"/>
        <v>0</v>
      </c>
      <c r="H67" s="186"/>
      <c r="I67" s="59" t="s">
        <v>139</v>
      </c>
      <c r="J67" s="36">
        <f>SUM(J64:J66)</f>
        <v>0</v>
      </c>
      <c r="K67" s="43">
        <f t="shared" ref="K67:L67" si="14">SUM(K64:K66)</f>
        <v>149.61000000000001</v>
      </c>
      <c r="L67" s="37">
        <f t="shared" si="14"/>
        <v>0</v>
      </c>
    </row>
    <row r="69" spans="2:26" x14ac:dyDescent="0.25">
      <c r="B69" s="10" t="s">
        <v>244</v>
      </c>
      <c r="D69" s="4"/>
      <c r="G69" s="5"/>
      <c r="H69" s="5"/>
      <c r="I69" s="8"/>
      <c r="J69" s="5"/>
      <c r="K69" s="9"/>
      <c r="L69" s="6"/>
      <c r="M69" s="9"/>
    </row>
    <row r="70" spans="2:26" ht="15.75" thickBot="1" x14ac:dyDescent="0.3">
      <c r="B70" s="10"/>
      <c r="D70" s="4"/>
      <c r="E70" s="2"/>
      <c r="F70" s="2"/>
      <c r="G70" s="2"/>
      <c r="H70" s="14"/>
      <c r="J70" s="5"/>
      <c r="K70" s="9"/>
      <c r="L70" s="6"/>
      <c r="M70" s="9"/>
    </row>
    <row r="71" spans="2:26" x14ac:dyDescent="0.25">
      <c r="B71" s="29" t="s">
        <v>208</v>
      </c>
      <c r="C71" s="38"/>
      <c r="D71" s="70" t="s">
        <v>217</v>
      </c>
      <c r="E71" s="70"/>
      <c r="F71" s="71"/>
      <c r="H71" s="29" t="s">
        <v>208</v>
      </c>
      <c r="I71" s="38"/>
      <c r="J71" s="182" t="s">
        <v>218</v>
      </c>
      <c r="K71" s="182"/>
      <c r="L71" s="183"/>
      <c r="N71" s="63" t="s">
        <v>209</v>
      </c>
      <c r="O71" s="38"/>
      <c r="P71" s="38"/>
      <c r="Q71" s="64"/>
      <c r="R71" s="64"/>
      <c r="S71" s="64"/>
      <c r="T71" s="64"/>
      <c r="U71" s="64"/>
      <c r="V71" s="64"/>
      <c r="W71" s="64"/>
      <c r="X71" s="64"/>
      <c r="Y71" s="64"/>
      <c r="Z71" s="65"/>
    </row>
    <row r="72" spans="2:26" x14ac:dyDescent="0.25">
      <c r="B72" s="55" t="s">
        <v>137</v>
      </c>
      <c r="C72" s="165">
        <v>32</v>
      </c>
      <c r="D72" s="17" t="s">
        <v>89</v>
      </c>
      <c r="E72" s="17" t="s">
        <v>91</v>
      </c>
      <c r="F72" s="32" t="s">
        <v>90</v>
      </c>
      <c r="H72" s="55" t="s">
        <v>137</v>
      </c>
      <c r="I72" s="165">
        <v>35</v>
      </c>
      <c r="J72" s="17" t="s">
        <v>89</v>
      </c>
      <c r="K72" s="17" t="s">
        <v>91</v>
      </c>
      <c r="L72" s="32" t="s">
        <v>90</v>
      </c>
      <c r="N72" s="66" t="s">
        <v>63</v>
      </c>
      <c r="O72" s="2" t="s">
        <v>48</v>
      </c>
      <c r="P72" s="2" t="s">
        <v>219</v>
      </c>
      <c r="Q72" s="67" t="s">
        <v>64</v>
      </c>
      <c r="R72" s="67" t="s">
        <v>69</v>
      </c>
      <c r="S72" s="68" t="s">
        <v>73</v>
      </c>
      <c r="T72" s="67" t="s">
        <v>68</v>
      </c>
      <c r="U72" s="67" t="s">
        <v>70</v>
      </c>
      <c r="V72" s="67" t="s">
        <v>72</v>
      </c>
      <c r="W72" s="67" t="s">
        <v>74</v>
      </c>
      <c r="X72" s="67" t="s">
        <v>25</v>
      </c>
      <c r="Y72" s="67" t="s">
        <v>66</v>
      </c>
      <c r="Z72" s="69" t="s">
        <v>75</v>
      </c>
    </row>
    <row r="73" spans="2:26" x14ac:dyDescent="0.25">
      <c r="B73" s="184" t="s">
        <v>135</v>
      </c>
      <c r="C73" s="57" t="s">
        <v>138</v>
      </c>
      <c r="D73" s="104">
        <v>0</v>
      </c>
      <c r="E73" s="189">
        <v>38.99</v>
      </c>
      <c r="F73" s="163">
        <v>0</v>
      </c>
      <c r="H73" s="184" t="s">
        <v>135</v>
      </c>
      <c r="I73" s="57" t="s">
        <v>138</v>
      </c>
      <c r="J73" s="104">
        <v>0</v>
      </c>
      <c r="K73" s="189">
        <v>38.99</v>
      </c>
      <c r="L73" s="163">
        <v>0</v>
      </c>
      <c r="N73" s="76" t="str">
        <f>'Cross Sections and Materials'!C15</f>
        <v>CHS 177.8x6.3</v>
      </c>
      <c r="O73" s="104">
        <v>350</v>
      </c>
      <c r="P73" s="104">
        <v>700</v>
      </c>
      <c r="Q73" s="77">
        <f>'Cross Sections and Materials'!F15</f>
        <v>32.380000000000003</v>
      </c>
      <c r="R73" s="77">
        <f>'Cross Sections and Materials'!G15</f>
        <v>6.08</v>
      </c>
      <c r="S73" s="77">
        <f>'Cross Sections and Materials'!I15</f>
        <v>0.49</v>
      </c>
      <c r="T73" s="8">
        <f>SQRT(O73^2+P73^2)</f>
        <v>782.62379212492635</v>
      </c>
      <c r="U73" s="5">
        <f>0.8*T73</f>
        <v>626.09903369994117</v>
      </c>
      <c r="V73" s="9">
        <f>U73/R73/$C$6</f>
        <v>1.0966646938581448</v>
      </c>
      <c r="W73" s="6">
        <f>0.5*(1+S73*(V73-0.2)+V73^2)</f>
        <v>1.3210195753727347</v>
      </c>
      <c r="X73" s="9">
        <f>MIN(1/(W73+SQRT(W73^2-V73^2)), 1)</f>
        <v>0.48602418929728419</v>
      </c>
      <c r="Y73" s="5">
        <f>Q73*$C$3/$C$4</f>
        <v>760.93000000000006</v>
      </c>
      <c r="Z73" s="60">
        <f>X73*Q73*$C$3/$C$5</f>
        <v>336.20944214725682</v>
      </c>
    </row>
    <row r="74" spans="2:26" x14ac:dyDescent="0.25">
      <c r="B74" s="184"/>
      <c r="C74" s="57" t="s">
        <v>129</v>
      </c>
      <c r="D74" s="104">
        <v>0</v>
      </c>
      <c r="E74" s="189">
        <v>-56.11</v>
      </c>
      <c r="F74" s="163">
        <v>0</v>
      </c>
      <c r="H74" s="184"/>
      <c r="I74" s="57" t="s">
        <v>129</v>
      </c>
      <c r="J74" s="104">
        <v>0</v>
      </c>
      <c r="K74" s="189">
        <v>57.65</v>
      </c>
      <c r="L74" s="163">
        <v>0</v>
      </c>
      <c r="N74" s="21"/>
      <c r="Z74" s="22"/>
    </row>
    <row r="75" spans="2:26" x14ac:dyDescent="0.25">
      <c r="B75" s="184"/>
      <c r="C75" s="57" t="s">
        <v>130</v>
      </c>
      <c r="D75" s="4"/>
      <c r="E75" s="4"/>
      <c r="F75" s="47"/>
      <c r="H75" s="184"/>
      <c r="I75" s="57" t="s">
        <v>130</v>
      </c>
      <c r="J75" s="4"/>
      <c r="K75" s="4"/>
      <c r="L75" s="47"/>
      <c r="N75" s="21"/>
      <c r="O75" s="187" t="s">
        <v>215</v>
      </c>
      <c r="P75" s="187"/>
      <c r="Q75" s="187"/>
      <c r="S75" s="187" t="s">
        <v>216</v>
      </c>
      <c r="T75" s="187"/>
      <c r="U75" s="187"/>
      <c r="Z75" s="22"/>
    </row>
    <row r="76" spans="2:26" x14ac:dyDescent="0.25">
      <c r="B76" s="185"/>
      <c r="C76" s="58" t="s">
        <v>139</v>
      </c>
      <c r="D76" s="44">
        <f>SUM(D73:D75)</f>
        <v>0</v>
      </c>
      <c r="E76" s="45">
        <f t="shared" ref="E76:F76" si="15">SUM(E73:E75)</f>
        <v>-17.119999999999997</v>
      </c>
      <c r="F76" s="48">
        <f t="shared" si="15"/>
        <v>0</v>
      </c>
      <c r="H76" s="185"/>
      <c r="I76" s="58" t="s">
        <v>139</v>
      </c>
      <c r="J76" s="44">
        <f>SUM(J73:J75)</f>
        <v>0</v>
      </c>
      <c r="K76" s="45">
        <f t="shared" ref="K76:L76" si="16">SUM(K73:K75)</f>
        <v>96.64</v>
      </c>
      <c r="L76" s="48">
        <f t="shared" si="16"/>
        <v>0</v>
      </c>
      <c r="N76" s="21"/>
      <c r="O76" s="2" t="s">
        <v>91</v>
      </c>
      <c r="P76" s="14" t="s">
        <v>67</v>
      </c>
      <c r="S76" s="2" t="s">
        <v>91</v>
      </c>
      <c r="T76" s="14" t="s">
        <v>67</v>
      </c>
      <c r="Z76" s="22"/>
    </row>
    <row r="77" spans="2:26" x14ac:dyDescent="0.25">
      <c r="B77" s="42"/>
      <c r="F77" s="22"/>
      <c r="H77" s="42"/>
      <c r="L77" s="22"/>
      <c r="N77" s="24" t="s">
        <v>135</v>
      </c>
      <c r="O77" s="78">
        <f>K76</f>
        <v>96.64</v>
      </c>
      <c r="P77" s="9">
        <f>O77/Z73</f>
        <v>0.28743987492675033</v>
      </c>
      <c r="Q77" s="2" t="str">
        <f>IF(P77&lt;1,"OK!","NG!")</f>
        <v>OK!</v>
      </c>
      <c r="S77" s="6">
        <f>ABS(MIN(E76,0))</f>
        <v>17.119999999999997</v>
      </c>
      <c r="T77" s="9">
        <f>S77/Y73</f>
        <v>2.2498784382269061E-2</v>
      </c>
      <c r="U77" s="2" t="str">
        <f>IF(T77&lt;1,"OK!","NG!")</f>
        <v>OK!</v>
      </c>
      <c r="Z77" s="22"/>
    </row>
    <row r="78" spans="2:26" ht="15.75" thickBot="1" x14ac:dyDescent="0.3">
      <c r="B78" s="55" t="s">
        <v>137</v>
      </c>
      <c r="C78" s="165">
        <v>32</v>
      </c>
      <c r="D78" s="75" t="s">
        <v>89</v>
      </c>
      <c r="E78" s="46" t="s">
        <v>91</v>
      </c>
      <c r="F78" s="49" t="s">
        <v>90</v>
      </c>
      <c r="H78" s="55" t="s">
        <v>137</v>
      </c>
      <c r="I78" s="165">
        <v>35</v>
      </c>
      <c r="J78" s="75" t="s">
        <v>89</v>
      </c>
      <c r="K78" s="46" t="s">
        <v>91</v>
      </c>
      <c r="L78" s="49" t="s">
        <v>90</v>
      </c>
      <c r="N78" s="51" t="s">
        <v>136</v>
      </c>
      <c r="O78" s="79">
        <f>K82</f>
        <v>131.48000000000002</v>
      </c>
      <c r="P78" s="26">
        <f>O78/Z73</f>
        <v>0.39106575698850515</v>
      </c>
      <c r="Q78" s="62" t="str">
        <f>IF(P78&lt;1,"OK!","NG!")</f>
        <v>OK!</v>
      </c>
      <c r="R78" s="27"/>
      <c r="S78" s="80">
        <f>ABS(MIN(E82,0))</f>
        <v>57.08</v>
      </c>
      <c r="T78" s="26">
        <f>S78/Y73</f>
        <v>7.5013470358640075E-2</v>
      </c>
      <c r="U78" s="62" t="str">
        <f>IF(T78&lt;1,"OK!","NG!")</f>
        <v>OK!</v>
      </c>
      <c r="V78" s="27"/>
      <c r="W78" s="27"/>
      <c r="X78" s="27"/>
      <c r="Y78" s="27"/>
      <c r="Z78" s="28"/>
    </row>
    <row r="79" spans="2:26" x14ac:dyDescent="0.25">
      <c r="B79" s="184" t="s">
        <v>136</v>
      </c>
      <c r="C79" s="57" t="s">
        <v>138</v>
      </c>
      <c r="D79" s="104">
        <v>0</v>
      </c>
      <c r="E79" s="189">
        <v>35.94</v>
      </c>
      <c r="F79" s="163">
        <v>0</v>
      </c>
      <c r="H79" s="184" t="s">
        <v>136</v>
      </c>
      <c r="I79" s="57" t="s">
        <v>138</v>
      </c>
      <c r="J79" s="104">
        <v>0</v>
      </c>
      <c r="K79" s="189">
        <v>35.94</v>
      </c>
      <c r="L79" s="163">
        <v>0</v>
      </c>
    </row>
    <row r="80" spans="2:26" x14ac:dyDescent="0.25">
      <c r="B80" s="184"/>
      <c r="C80" s="57" t="s">
        <v>129</v>
      </c>
      <c r="D80" s="104">
        <v>0</v>
      </c>
      <c r="E80" s="200">
        <v>-93.02</v>
      </c>
      <c r="F80" s="163">
        <v>0</v>
      </c>
      <c r="H80" s="184"/>
      <c r="I80" s="57" t="s">
        <v>129</v>
      </c>
      <c r="J80" s="104">
        <v>0</v>
      </c>
      <c r="K80" s="189">
        <v>95.54</v>
      </c>
      <c r="L80" s="163">
        <v>0</v>
      </c>
      <c r="N80" t="s">
        <v>220</v>
      </c>
    </row>
    <row r="81" spans="2:12" x14ac:dyDescent="0.25">
      <c r="B81" s="184"/>
      <c r="C81" s="57" t="s">
        <v>130</v>
      </c>
      <c r="D81" s="4"/>
      <c r="E81" s="4"/>
      <c r="F81" s="47"/>
      <c r="H81" s="184"/>
      <c r="I81" s="57" t="s">
        <v>130</v>
      </c>
      <c r="J81" s="4"/>
      <c r="K81" s="4"/>
      <c r="L81" s="47"/>
    </row>
    <row r="82" spans="2:12" ht="15.75" thickBot="1" x14ac:dyDescent="0.3">
      <c r="B82" s="186"/>
      <c r="C82" s="59" t="s">
        <v>139</v>
      </c>
      <c r="D82" s="36">
        <f>SUM(D79:D81)</f>
        <v>0</v>
      </c>
      <c r="E82" s="43">
        <f t="shared" ref="E82:F82" si="17">SUM(E79:E81)</f>
        <v>-57.08</v>
      </c>
      <c r="F82" s="37">
        <f t="shared" si="17"/>
        <v>0</v>
      </c>
      <c r="H82" s="186"/>
      <c r="I82" s="59" t="s">
        <v>139</v>
      </c>
      <c r="J82" s="36">
        <f>SUM(J79:J81)</f>
        <v>0</v>
      </c>
      <c r="K82" s="43">
        <f t="shared" ref="K82:L82" si="18">SUM(K79:K81)</f>
        <v>131.48000000000002</v>
      </c>
      <c r="L82" s="37">
        <f t="shared" si="18"/>
        <v>0</v>
      </c>
    </row>
  </sheetData>
  <mergeCells count="24">
    <mergeCell ref="J71:L71"/>
    <mergeCell ref="B73:B76"/>
    <mergeCell ref="H73:H76"/>
    <mergeCell ref="B79:B82"/>
    <mergeCell ref="H79:H82"/>
    <mergeCell ref="S45:U45"/>
    <mergeCell ref="O60:Q60"/>
    <mergeCell ref="S60:U60"/>
    <mergeCell ref="O75:Q75"/>
    <mergeCell ref="S75:U75"/>
    <mergeCell ref="B58:B61"/>
    <mergeCell ref="H58:H61"/>
    <mergeCell ref="B64:B67"/>
    <mergeCell ref="H64:H67"/>
    <mergeCell ref="O45:Q45"/>
    <mergeCell ref="J41:L41"/>
    <mergeCell ref="H43:H46"/>
    <mergeCell ref="H49:H52"/>
    <mergeCell ref="B19:B22"/>
    <mergeCell ref="B13:B16"/>
    <mergeCell ref="B28:B31"/>
    <mergeCell ref="B34:B37"/>
    <mergeCell ref="B43:B46"/>
    <mergeCell ref="B49:B52"/>
  </mergeCells>
  <conditionalFormatting sqref="K31:K32">
    <cfRule type="cellIs" dxfId="53" priority="22" operator="equal">
      <formula>"NG!"</formula>
    </cfRule>
    <cfRule type="cellIs" dxfId="52" priority="23" operator="equal">
      <formula>"OK..."</formula>
    </cfRule>
    <cfRule type="cellIs" dxfId="51" priority="24" operator="equal">
      <formula>"OK!"</formula>
    </cfRule>
  </conditionalFormatting>
  <conditionalFormatting sqref="P37:P40">
    <cfRule type="cellIs" dxfId="50" priority="28" operator="equal">
      <formula>"NG!"</formula>
    </cfRule>
    <cfRule type="cellIs" dxfId="49" priority="29" operator="equal">
      <formula>"OK..."</formula>
    </cfRule>
    <cfRule type="cellIs" dxfId="48" priority="30" operator="equal">
      <formula>"OK!"</formula>
    </cfRule>
  </conditionalFormatting>
  <conditionalFormatting sqref="Q16:Q17 P24">
    <cfRule type="cellIs" dxfId="47" priority="25" operator="equal">
      <formula>"NG!"</formula>
    </cfRule>
    <cfRule type="cellIs" dxfId="46" priority="26" operator="equal">
      <formula>"OK..."</formula>
    </cfRule>
    <cfRule type="cellIs" dxfId="45" priority="27" operator="equal">
      <formula>"OK!"</formula>
    </cfRule>
  </conditionalFormatting>
  <conditionalFormatting sqref="Q47:Q48">
    <cfRule type="cellIs" dxfId="44" priority="19" operator="equal">
      <formula>"NG!"</formula>
    </cfRule>
    <cfRule type="cellIs" dxfId="43" priority="20" operator="equal">
      <formula>"OK..."</formula>
    </cfRule>
    <cfRule type="cellIs" dxfId="42" priority="21" operator="equal">
      <formula>"OK!"</formula>
    </cfRule>
  </conditionalFormatting>
  <conditionalFormatting sqref="Q62:Q63">
    <cfRule type="cellIs" dxfId="41" priority="10" operator="equal">
      <formula>"NG!"</formula>
    </cfRule>
    <cfRule type="cellIs" dxfId="40" priority="11" operator="equal">
      <formula>"OK..."</formula>
    </cfRule>
    <cfRule type="cellIs" dxfId="39" priority="12" operator="equal">
      <formula>"OK!"</formula>
    </cfRule>
  </conditionalFormatting>
  <conditionalFormatting sqref="Q77:Q78">
    <cfRule type="cellIs" dxfId="38" priority="4" operator="equal">
      <formula>"NG!"</formula>
    </cfRule>
    <cfRule type="cellIs" dxfId="37" priority="5" operator="equal">
      <formula>"OK..."</formula>
    </cfRule>
    <cfRule type="cellIs" dxfId="36" priority="6" operator="equal">
      <formula>"OK!"</formula>
    </cfRule>
  </conditionalFormatting>
  <conditionalFormatting sqref="U47:U48">
    <cfRule type="cellIs" dxfId="35" priority="13" operator="equal">
      <formula>"NG!"</formula>
    </cfRule>
    <cfRule type="cellIs" dxfId="34" priority="14" operator="equal">
      <formula>"OK..."</formula>
    </cfRule>
    <cfRule type="cellIs" dxfId="33" priority="15" operator="equal">
      <formula>"OK!"</formula>
    </cfRule>
  </conditionalFormatting>
  <conditionalFormatting sqref="U62:U63">
    <cfRule type="cellIs" dxfId="32" priority="7" operator="equal">
      <formula>"NG!"</formula>
    </cfRule>
    <cfRule type="cellIs" dxfId="31" priority="8" operator="equal">
      <formula>"OK..."</formula>
    </cfRule>
    <cfRule type="cellIs" dxfId="30" priority="9" operator="equal">
      <formula>"OK!"</formula>
    </cfRule>
  </conditionalFormatting>
  <conditionalFormatting sqref="U77:U78">
    <cfRule type="cellIs" dxfId="29" priority="1" operator="equal">
      <formula>"NG!"</formula>
    </cfRule>
    <cfRule type="cellIs" dxfId="28" priority="2" operator="equal">
      <formula>"OK..."</formula>
    </cfRule>
    <cfRule type="cellIs" dxfId="27" priority="3" operator="equal">
      <formula>"OK!"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494B-EAA7-49FC-82D4-577F7B6D5C87}">
  <dimension ref="C2:U143"/>
  <sheetViews>
    <sheetView tabSelected="1" topLeftCell="A138" zoomScale="85" zoomScaleNormal="85" workbookViewId="0">
      <selection activeCell="T135" sqref="T135"/>
    </sheetView>
  </sheetViews>
  <sheetFormatPr baseColWidth="10" defaultRowHeight="15" x14ac:dyDescent="0.25"/>
  <cols>
    <col min="2" max="2" width="4.140625" customWidth="1"/>
    <col min="3" max="3" width="13.28515625" customWidth="1"/>
    <col min="4" max="4" width="13.85546875" bestFit="1" customWidth="1"/>
    <col min="5" max="5" width="14.7109375" customWidth="1"/>
    <col min="6" max="6" width="16.7109375" bestFit="1" customWidth="1"/>
    <col min="7" max="7" width="18.28515625" customWidth="1"/>
    <col min="8" max="8" width="13.28515625" customWidth="1"/>
    <col min="9" max="9" width="15.28515625" customWidth="1"/>
    <col min="11" max="11" width="12" bestFit="1" customWidth="1"/>
  </cols>
  <sheetData>
    <row r="2" spans="3:16" ht="15.75" x14ac:dyDescent="0.25">
      <c r="C2" s="160" t="s">
        <v>111</v>
      </c>
    </row>
    <row r="3" spans="3:16" ht="16.5" thickBot="1" x14ac:dyDescent="0.3">
      <c r="C3" s="160"/>
    </row>
    <row r="4" spans="3:16" ht="15.75" x14ac:dyDescent="0.25">
      <c r="C4" s="159" t="s">
        <v>113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27"/>
    </row>
    <row r="5" spans="3:16" x14ac:dyDescent="0.25">
      <c r="C5" s="21" t="s">
        <v>115</v>
      </c>
      <c r="P5" s="22"/>
    </row>
    <row r="6" spans="3:16" x14ac:dyDescent="0.25">
      <c r="C6" s="21" t="s">
        <v>86</v>
      </c>
      <c r="D6" s="5">
        <f>'Cross Sections and Materials'!Q5</f>
        <v>21000</v>
      </c>
      <c r="E6" t="s">
        <v>61</v>
      </c>
      <c r="P6" s="22"/>
    </row>
    <row r="7" spans="3:16" ht="18" x14ac:dyDescent="0.35">
      <c r="C7" s="149" t="s">
        <v>3</v>
      </c>
      <c r="D7" s="125" t="s">
        <v>63</v>
      </c>
      <c r="E7" s="125" t="s">
        <v>109</v>
      </c>
      <c r="F7" s="125" t="s">
        <v>108</v>
      </c>
      <c r="G7" s="125" t="s">
        <v>64</v>
      </c>
      <c r="H7" s="125" t="s">
        <v>68</v>
      </c>
      <c r="I7" s="125" t="s">
        <v>121</v>
      </c>
      <c r="J7" s="125" t="s">
        <v>119</v>
      </c>
      <c r="K7" s="125" t="s">
        <v>120</v>
      </c>
      <c r="P7" s="22"/>
    </row>
    <row r="8" spans="3:16" x14ac:dyDescent="0.25">
      <c r="C8" s="21">
        <v>1</v>
      </c>
      <c r="D8" s="18" t="str">
        <f>IF(Loads!C24&lt;&gt;"", 'Cross Sections and Materials'!C13, "")</f>
        <v>CHS 193.7x6</v>
      </c>
      <c r="E8" s="104">
        <v>350</v>
      </c>
      <c r="F8" s="104">
        <v>700</v>
      </c>
      <c r="G8" s="18">
        <f>IF(Loads!C24&lt;&gt;"", 'Cross Sections and Materials'!F13, "")</f>
        <v>35.380000000000003</v>
      </c>
      <c r="H8" s="6">
        <f>IF(Loads!C24&lt;&gt;"", SQRT(E8^2+F8^2), "")</f>
        <v>782.62379212492635</v>
      </c>
      <c r="I8" s="8">
        <f>IF(Loads!C24&lt;&gt;"", G8*$D$6/H8, "")</f>
        <v>949.34502052731079</v>
      </c>
      <c r="J8" s="8">
        <f>IF(Loads!C24&lt;&gt;"", 2*I8*(F8/H8)^2, "")</f>
        <v>1518.9520328436975</v>
      </c>
      <c r="P8" s="22"/>
    </row>
    <row r="9" spans="3:16" x14ac:dyDescent="0.25">
      <c r="C9" s="21">
        <v>2</v>
      </c>
      <c r="D9" s="18" t="str">
        <f>IF(Loads!C25&lt;&gt;"", 'Cross Sections and Materials'!C14, "")</f>
        <v>CHS 193.7x6</v>
      </c>
      <c r="E9" s="104">
        <v>350</v>
      </c>
      <c r="F9" s="104">
        <v>700</v>
      </c>
      <c r="G9" s="18">
        <f>IF(Loads!C25&lt;&gt;"", 'Cross Sections and Materials'!F14, "")</f>
        <v>35.380000000000003</v>
      </c>
      <c r="H9" s="6">
        <f>IF(Loads!C25&lt;&gt;"", SQRT(E9^2+F9^2), "")</f>
        <v>782.62379212492635</v>
      </c>
      <c r="I9" s="8">
        <f>IF(Loads!C25&lt;&gt;"", G9*$D$6/H9, "")</f>
        <v>949.34502052731079</v>
      </c>
      <c r="J9" s="8">
        <f>IF(Loads!C25&lt;&gt;"", 2*I9*(F9/H9)^2, "")</f>
        <v>1518.9520328436975</v>
      </c>
      <c r="K9" s="6">
        <f>IF(Loads!C25&lt;&gt;"", J9/J8, "")</f>
        <v>1</v>
      </c>
      <c r="L9" s="2" t="str">
        <f>IF(Loads!C25&lt;&gt;"", IF(AND(K9&gt;=0.8, K9&lt;=1),"OK!","NG!"), "")</f>
        <v>OK!</v>
      </c>
      <c r="M9" t="s">
        <v>118</v>
      </c>
      <c r="P9" s="22"/>
    </row>
    <row r="10" spans="3:16" x14ac:dyDescent="0.25">
      <c r="C10" s="21">
        <v>3</v>
      </c>
      <c r="D10" s="18" t="str">
        <f>IF(Loads!C26&lt;&gt;"", 'Cross Sections and Materials'!C15, "")</f>
        <v>CHS 177.8x6.3</v>
      </c>
      <c r="E10" s="104">
        <v>350</v>
      </c>
      <c r="F10" s="104">
        <v>700</v>
      </c>
      <c r="G10" s="18">
        <f>IF(Loads!C26&lt;&gt;"", 'Cross Sections and Materials'!F15, "")</f>
        <v>32.380000000000003</v>
      </c>
      <c r="H10" s="6">
        <f>IF(Loads!C26&lt;&gt;"", SQRT(E10^2+F10^2), "")</f>
        <v>782.62379212492635</v>
      </c>
      <c r="I10" s="8">
        <f>IF(Loads!C26&lt;&gt;"", G10*$D$6/H10, "")</f>
        <v>868.84657333731832</v>
      </c>
      <c r="J10" s="8">
        <f>IF(Loads!C26&lt;&gt;"", 2*I10*(F10/H10)^2, "")</f>
        <v>1390.1545173397096</v>
      </c>
      <c r="K10" s="6">
        <f>IF(Loads!C26&lt;&gt;"", J10/J9, "")</f>
        <v>0.91520633126059925</v>
      </c>
      <c r="L10" s="2" t="str">
        <f>IF(Loads!C26&lt;&gt;"", IF(AND(K10&gt;=0.8, K10&lt;=1),"OK!","NG!"), "")</f>
        <v>OK!</v>
      </c>
      <c r="P10" s="22"/>
    </row>
    <row r="11" spans="3:16" x14ac:dyDescent="0.25">
      <c r="C11" s="21">
        <v>4</v>
      </c>
      <c r="D11" s="18" t="str">
        <f>IF(Loads!C27&lt;&gt;"", 'Cross Sections and Materials'!C16, "")</f>
        <v/>
      </c>
      <c r="E11" s="104"/>
      <c r="F11" s="104"/>
      <c r="G11" s="18" t="str">
        <f>IF(Loads!C27&lt;&gt;"", 'Cross Sections and Materials'!F16, "")</f>
        <v/>
      </c>
      <c r="H11" s="6" t="str">
        <f>IF(Loads!C27&lt;&gt;"", SQRT(E11^2+F11^2), "")</f>
        <v/>
      </c>
      <c r="I11" s="8" t="str">
        <f>IF(Loads!C27&lt;&gt;"", G11*$D$6/H11, "")</f>
        <v/>
      </c>
      <c r="J11" s="8" t="str">
        <f>IF(Loads!C27&lt;&gt;"", 2*I11*(F11/H11)^2, "")</f>
        <v/>
      </c>
      <c r="K11" s="6" t="str">
        <f>IF(Loads!C27&lt;&gt;"", J11/J10, "")</f>
        <v/>
      </c>
      <c r="L11" s="2" t="str">
        <f>IF(Loads!C27&lt;&gt;"", IF(AND(K11&gt;=0.8, K11&lt;=1),"OK!","NG!"), "")</f>
        <v/>
      </c>
      <c r="P11" s="22"/>
    </row>
    <row r="12" spans="3:16" x14ac:dyDescent="0.25">
      <c r="C12" s="21">
        <v>5</v>
      </c>
      <c r="D12" s="18" t="str">
        <f>IF(Loads!C28&lt;&gt;"", 'Cross Sections and Materials'!C17, "")</f>
        <v/>
      </c>
      <c r="E12" s="104"/>
      <c r="F12" s="104"/>
      <c r="G12" s="18" t="str">
        <f>IF(Loads!C28&lt;&gt;"", 'Cross Sections and Materials'!F17, "")</f>
        <v/>
      </c>
      <c r="H12" s="6" t="str">
        <f>IF(Loads!C28&lt;&gt;"", SQRT(E12^2+F12^2), "")</f>
        <v/>
      </c>
      <c r="I12" s="8" t="str">
        <f>IF(Loads!C28&lt;&gt;"", G12*$D$6/H12, "")</f>
        <v/>
      </c>
      <c r="J12" s="8" t="str">
        <f>IF(Loads!C28&lt;&gt;"", 2*I12*(F12/H12)^2, "")</f>
        <v/>
      </c>
      <c r="K12" s="6" t="str">
        <f>IF(Loads!C28&lt;&gt;"", J12/J11, "")</f>
        <v/>
      </c>
      <c r="L12" s="2" t="str">
        <f>IF(Loads!C28&lt;&gt;"", IF(AND(K12&gt;=0.8, K12&lt;=1),"OK!","NG!"), "")</f>
        <v/>
      </c>
      <c r="P12" s="22"/>
    </row>
    <row r="13" spans="3:16" x14ac:dyDescent="0.25">
      <c r="C13" s="21">
        <v>6</v>
      </c>
      <c r="D13" s="18" t="str">
        <f>IF(Loads!C29&lt;&gt;"", 'Cross Sections and Materials'!C18, "")</f>
        <v/>
      </c>
      <c r="E13" s="104"/>
      <c r="F13" s="104"/>
      <c r="G13" s="18" t="str">
        <f>IF(Loads!C29&lt;&gt;"", 'Cross Sections and Materials'!F18, "")</f>
        <v/>
      </c>
      <c r="H13" s="6" t="str">
        <f>IF(Loads!C29&lt;&gt;"", SQRT(E13^2+F13^2), "")</f>
        <v/>
      </c>
      <c r="I13" s="8" t="str">
        <f>IF(Loads!C29&lt;&gt;"", G13*$D$6/H13, "")</f>
        <v/>
      </c>
      <c r="J13" s="8" t="str">
        <f>IF(Loads!C29&lt;&gt;"", 2*I13*(F13/H13)^2, "")</f>
        <v/>
      </c>
      <c r="K13" s="6" t="str">
        <f>IF(Loads!C29&lt;&gt;"", J13/J12, "")</f>
        <v/>
      </c>
      <c r="L13" s="2" t="str">
        <f>IF(Loads!C29&lt;&gt;"", IF(AND(K13&gt;=0.8, K13&lt;=1),"OK!","NG!"), "")</f>
        <v/>
      </c>
      <c r="P13" s="22"/>
    </row>
    <row r="14" spans="3:16" x14ac:dyDescent="0.25">
      <c r="C14" s="21">
        <v>7</v>
      </c>
      <c r="D14" s="18" t="str">
        <f>IF(Loads!C30&lt;&gt;"", 'Cross Sections and Materials'!C19, "")</f>
        <v/>
      </c>
      <c r="E14" s="104"/>
      <c r="F14" s="104"/>
      <c r="G14" s="18" t="str">
        <f>IF(Loads!C30&lt;&gt;"", 'Cross Sections and Materials'!F19, "")</f>
        <v/>
      </c>
      <c r="H14" s="6" t="str">
        <f>IF(Loads!C30&lt;&gt;"", SQRT(E14^2+F14^2), "")</f>
        <v/>
      </c>
      <c r="I14" s="8" t="str">
        <f>IF(Loads!C30&lt;&gt;"", G14*$D$6/H14, "")</f>
        <v/>
      </c>
      <c r="J14" s="8" t="str">
        <f>IF(Loads!C30&lt;&gt;"", 2*I14*(F14/H14)^2, "")</f>
        <v/>
      </c>
      <c r="K14" s="6" t="str">
        <f>IF(Loads!C30&lt;&gt;"", J14/J13, "")</f>
        <v/>
      </c>
      <c r="L14" s="2" t="str">
        <f>IF(Loads!C30&lt;&gt;"", IF(AND(K14&gt;=0.8, K14&lt;=1),"OK!","NG!"), "")</f>
        <v/>
      </c>
      <c r="P14" s="22"/>
    </row>
    <row r="15" spans="3:16" x14ac:dyDescent="0.25">
      <c r="C15" s="21">
        <v>8</v>
      </c>
      <c r="D15" s="18" t="str">
        <f>IF(Loads!C31&lt;&gt;"", 'Cross Sections and Materials'!C20, "")</f>
        <v/>
      </c>
      <c r="E15" s="104"/>
      <c r="F15" s="104"/>
      <c r="G15" s="18" t="str">
        <f>IF(Loads!C31&lt;&gt;"", 'Cross Sections and Materials'!F20, "")</f>
        <v/>
      </c>
      <c r="H15" s="6" t="str">
        <f>IF(Loads!C31&lt;&gt;"", SQRT(E15^2+F15^2), "")</f>
        <v/>
      </c>
      <c r="I15" s="8" t="str">
        <f>IF(Loads!C31&lt;&gt;"", G15*$D$6/H15, "")</f>
        <v/>
      </c>
      <c r="J15" s="8" t="str">
        <f>IF(Loads!C31&lt;&gt;"", 2*I15*(F15/H15)^2, "")</f>
        <v/>
      </c>
      <c r="K15" s="6" t="str">
        <f>IF(Loads!C31&lt;&gt;"", J15/J14, "")</f>
        <v/>
      </c>
      <c r="L15" s="2" t="str">
        <f>IF(Loads!C31&lt;&gt;"", IF(AND(K15&gt;=0.8, K15&lt;=1),"OK!","NG!"), "")</f>
        <v/>
      </c>
      <c r="P15" s="22"/>
    </row>
    <row r="16" spans="3:16" ht="15.75" thickBot="1" x14ac:dyDescent="0.3">
      <c r="C16" s="25">
        <v>9</v>
      </c>
      <c r="D16" s="152" t="str">
        <f>IF(Loads!C32&lt;&gt;"", 'Cross Sections and Materials'!C21, "")</f>
        <v/>
      </c>
      <c r="E16" s="162"/>
      <c r="F16" s="162"/>
      <c r="G16" s="152" t="str">
        <f>IF(Loads!C32&lt;&gt;"", 'Cross Sections and Materials'!F21, "")</f>
        <v/>
      </c>
      <c r="H16" s="80" t="str">
        <f>IF(Loads!C32&lt;&gt;"", SQRT(E16^2+F16^2), "")</f>
        <v/>
      </c>
      <c r="I16" s="43" t="str">
        <f>IF(Loads!C32&lt;&gt;"", G16*$D$6/H16, "")</f>
        <v/>
      </c>
      <c r="J16" s="43" t="str">
        <f>IF(Loads!C32&lt;&gt;"", 2*I16*(F16/H16)^2, "")</f>
        <v/>
      </c>
      <c r="K16" s="80" t="str">
        <f>IF(Loads!C32&lt;&gt;"", J16/J15, "")</f>
        <v/>
      </c>
      <c r="L16" s="62" t="str">
        <f>IF(Loads!C32&lt;&gt;"", IF(AND(K16&gt;=0.8, K16&lt;=1),"OK!","NG!"), "")</f>
        <v/>
      </c>
      <c r="M16" s="27"/>
      <c r="N16" s="27"/>
      <c r="O16" s="27"/>
      <c r="P16" s="28"/>
    </row>
    <row r="17" spans="3:13" ht="15.75" thickBot="1" x14ac:dyDescent="0.3"/>
    <row r="18" spans="3:13" ht="15.75" x14ac:dyDescent="0.25">
      <c r="C18" s="159" t="s">
        <v>114</v>
      </c>
      <c r="D18" s="156"/>
      <c r="E18" s="156"/>
      <c r="F18" s="156"/>
      <c r="G18" s="156"/>
      <c r="H18" s="156"/>
      <c r="I18" s="127"/>
    </row>
    <row r="19" spans="3:13" x14ac:dyDescent="0.25">
      <c r="C19" s="21"/>
      <c r="I19" s="22"/>
    </row>
    <row r="20" spans="3:13" ht="18" x14ac:dyDescent="0.35">
      <c r="C20" s="149" t="s">
        <v>3</v>
      </c>
      <c r="D20" s="125" t="s">
        <v>116</v>
      </c>
      <c r="E20" s="125" t="s">
        <v>117</v>
      </c>
      <c r="F20" s="125"/>
      <c r="I20" s="22"/>
    </row>
    <row r="21" spans="3:13" x14ac:dyDescent="0.25">
      <c r="C21" s="21">
        <v>1</v>
      </c>
      <c r="D21" s="6">
        <f>IF(Loads!C24&lt;&gt;"", Loads!G40, "")</f>
        <v>107.88990825688074</v>
      </c>
      <c r="E21" s="175"/>
      <c r="F21" s="176"/>
      <c r="I21" s="22"/>
    </row>
    <row r="22" spans="3:13" x14ac:dyDescent="0.25">
      <c r="C22" s="21">
        <v>2</v>
      </c>
      <c r="D22" s="6">
        <f>IF(Loads!C25&lt;&gt;"", Loads!G41, "")</f>
        <v>107.88990825688074</v>
      </c>
      <c r="E22" s="6">
        <f>IF(Loads!C25&lt;&gt;"", D22/D21, "")</f>
        <v>1</v>
      </c>
      <c r="F22" s="2" t="str">
        <f>IF(Loads!C25&lt;&gt;"", IF(AND(E22&gt;=0.8, E22&lt;=1),"OK!","NG!"), "")</f>
        <v>OK!</v>
      </c>
      <c r="G22" t="s">
        <v>118</v>
      </c>
      <c r="I22" s="22"/>
    </row>
    <row r="23" spans="3:13" x14ac:dyDescent="0.25">
      <c r="C23" s="21">
        <v>3</v>
      </c>
      <c r="D23" s="6">
        <f>IF(Loads!C26&lt;&gt;"", Loads!G42, "")</f>
        <v>107.88990825688074</v>
      </c>
      <c r="E23" s="6">
        <f>IF(Loads!C26&lt;&gt;"", D23/D22, "")</f>
        <v>1</v>
      </c>
      <c r="F23" s="2" t="str">
        <f>IF(Loads!C26&lt;&gt;"", IF(AND(E23&gt;=0.8, E23&lt;=1),"OK!","NG!"), "")</f>
        <v>OK!</v>
      </c>
      <c r="I23" s="22"/>
    </row>
    <row r="24" spans="3:13" x14ac:dyDescent="0.25">
      <c r="C24" s="21">
        <v>4</v>
      </c>
      <c r="D24" s="6" t="str">
        <f>IF(Loads!C27&lt;&gt;"", Loads!G43, "")</f>
        <v/>
      </c>
      <c r="E24" s="6" t="str">
        <f>IF(Loads!C27&lt;&gt;"", D24/D23, "")</f>
        <v/>
      </c>
      <c r="F24" s="2" t="str">
        <f>IF(Loads!C27&lt;&gt;"", IF(AND(E24&gt;=0.8, E24&lt;=1),"OK!","NG!"), "")</f>
        <v/>
      </c>
      <c r="I24" s="22"/>
    </row>
    <row r="25" spans="3:13" x14ac:dyDescent="0.25">
      <c r="C25" s="21">
        <v>5</v>
      </c>
      <c r="D25" s="6" t="str">
        <f>IF(Loads!C28&lt;&gt;"", Loads!G44, "")</f>
        <v/>
      </c>
      <c r="E25" s="6" t="str">
        <f>IF(Loads!C28&lt;&gt;"", D25/D24, "")</f>
        <v/>
      </c>
      <c r="F25" s="2" t="str">
        <f>IF(Loads!C28&lt;&gt;"", IF(AND(E25&gt;=0.8, E25&lt;=1),"OK!","NG!"), "")</f>
        <v/>
      </c>
      <c r="I25" s="22"/>
    </row>
    <row r="26" spans="3:13" x14ac:dyDescent="0.25">
      <c r="C26" s="21">
        <v>6</v>
      </c>
      <c r="D26" s="6" t="str">
        <f>IF(Loads!C29&lt;&gt;"", Loads!G45, "")</f>
        <v/>
      </c>
      <c r="E26" s="6" t="str">
        <f>IF(Loads!C29&lt;&gt;"", D26/D25, "")</f>
        <v/>
      </c>
      <c r="F26" s="2" t="str">
        <f>IF(Loads!C29&lt;&gt;"", IF(AND(E26&gt;=0.8, E26&lt;=1),"OK!","NG!"), "")</f>
        <v/>
      </c>
      <c r="I26" s="22"/>
    </row>
    <row r="27" spans="3:13" x14ac:dyDescent="0.25">
      <c r="C27" s="21">
        <v>7</v>
      </c>
      <c r="D27" s="6" t="str">
        <f>IF(Loads!C30&lt;&gt;"", Loads!G46, "")</f>
        <v/>
      </c>
      <c r="E27" s="6" t="str">
        <f>IF(Loads!C30&lt;&gt;"", D27/D26, "")</f>
        <v/>
      </c>
      <c r="F27" s="2" t="str">
        <f>IF(Loads!C30&lt;&gt;"", IF(AND(E27&gt;=0.8, E27&lt;=1),"OK!","NG!"), "")</f>
        <v/>
      </c>
      <c r="I27" s="22"/>
    </row>
    <row r="28" spans="3:13" x14ac:dyDescent="0.25">
      <c r="C28" s="21">
        <v>8</v>
      </c>
      <c r="D28" s="6" t="str">
        <f>IF(Loads!C31&lt;&gt;"", Loads!G47, "")</f>
        <v/>
      </c>
      <c r="E28" s="6" t="str">
        <f>IF(Loads!C31&lt;&gt;"", D28/D27, "")</f>
        <v/>
      </c>
      <c r="F28" s="2" t="str">
        <f>IF(Loads!C31&lt;&gt;"", IF(AND(E28&gt;=0.8, E28&lt;=1),"OK!","NG!"), "")</f>
        <v/>
      </c>
      <c r="I28" s="22"/>
    </row>
    <row r="29" spans="3:13" ht="15.75" thickBot="1" x14ac:dyDescent="0.3">
      <c r="C29" s="25">
        <v>9</v>
      </c>
      <c r="D29" s="80" t="str">
        <f>IF(Loads!C32&lt;&gt;"", Loads!G48, "")</f>
        <v/>
      </c>
      <c r="E29" s="80" t="str">
        <f>IF(Loads!C32&lt;&gt;"", D29/D28, "")</f>
        <v/>
      </c>
      <c r="F29" s="62" t="str">
        <f>IF(Loads!C32&lt;&gt;"", IF(AND(E29&gt;=0.8, E29&lt;=1),"OK!","NG!"), "")</f>
        <v/>
      </c>
      <c r="G29" s="27"/>
      <c r="H29" s="27"/>
      <c r="I29" s="28"/>
    </row>
    <row r="30" spans="3:13" ht="15.75" thickBot="1" x14ac:dyDescent="0.3"/>
    <row r="31" spans="3:13" ht="15.75" x14ac:dyDescent="0.25">
      <c r="C31" s="159" t="s">
        <v>112</v>
      </c>
      <c r="D31" s="156"/>
      <c r="E31" s="156"/>
      <c r="F31" s="156"/>
      <c r="G31" s="156"/>
      <c r="H31" s="156"/>
      <c r="I31" s="156"/>
      <c r="J31" s="156"/>
      <c r="K31" s="156"/>
      <c r="L31" s="156"/>
      <c r="M31" s="127"/>
    </row>
    <row r="32" spans="3:13" x14ac:dyDescent="0.25">
      <c r="C32" s="21"/>
      <c r="M32" s="22"/>
    </row>
    <row r="33" spans="3:13" ht="18" x14ac:dyDescent="0.35">
      <c r="C33" s="149" t="s">
        <v>3</v>
      </c>
      <c r="D33" s="125" t="s">
        <v>63</v>
      </c>
      <c r="E33" s="125" t="s">
        <v>124</v>
      </c>
      <c r="F33" s="125" t="s">
        <v>122</v>
      </c>
      <c r="G33" s="125" t="s">
        <v>97</v>
      </c>
      <c r="H33" s="125"/>
      <c r="M33" s="22"/>
    </row>
    <row r="34" spans="3:13" x14ac:dyDescent="0.25">
      <c r="C34" s="21">
        <v>1</v>
      </c>
      <c r="D34" s="18" t="str">
        <f>IF(Loads!C24&lt;&gt;"", D8, "")</f>
        <v>CHS 193.7x6</v>
      </c>
      <c r="E34" s="6">
        <f>IF(Loads!C24&lt;&gt;"", G95+(F95-E95), "")</f>
        <v>677.2</v>
      </c>
      <c r="F34" s="6">
        <f>IF(Loads!C24&lt;&gt;"", I108+R95, "")</f>
        <v>1237.7122072011437</v>
      </c>
      <c r="G34" s="6">
        <f>IF(Loads!C24&lt;&gt;"", F34/E34, "")</f>
        <v>1.8276907962214171</v>
      </c>
      <c r="H34" s="5"/>
      <c r="M34" s="22"/>
    </row>
    <row r="35" spans="3:13" x14ac:dyDescent="0.25">
      <c r="C35" s="21">
        <v>2</v>
      </c>
      <c r="D35" s="18" t="str">
        <f>IF(Loads!C25&lt;&gt;"", D9, "")</f>
        <v>CHS 193.7x6</v>
      </c>
      <c r="E35" s="6">
        <f>IF(Loads!C25&lt;&gt;"", G96+(F96-E96), "")</f>
        <v>591.4</v>
      </c>
      <c r="F35" s="6">
        <f>IF(Loads!C25&lt;&gt;"", I109+R96, "")</f>
        <v>1237.7122072011437</v>
      </c>
      <c r="G35" s="6">
        <f>IF(Loads!C25&lt;&gt;"", F35/E35, "")</f>
        <v>2.0928512127175241</v>
      </c>
      <c r="H35" s="9">
        <f>IF(Loads!C25&lt;&gt;"", G35/G34, "")</f>
        <v>1.1450794724382822</v>
      </c>
      <c r="I35" s="2" t="str">
        <f>IF(Loads!C25&lt;&gt;"", IF(AND(H35&gt;=0.7, H35&lt;=1.3),"OK!","NG!"), "")</f>
        <v>OK!</v>
      </c>
      <c r="J35" t="s">
        <v>123</v>
      </c>
      <c r="M35" s="22"/>
    </row>
    <row r="36" spans="3:13" x14ac:dyDescent="0.25">
      <c r="C36" s="21">
        <v>3</v>
      </c>
      <c r="D36" s="18" t="str">
        <f>IF(Loads!C26&lt;&gt;"", D10, "")</f>
        <v>CHS 177.8x6.3</v>
      </c>
      <c r="E36" s="6">
        <f>IF(Loads!C26&lt;&gt;"", G97+(F97-E97), "")</f>
        <v>544.20000000000005</v>
      </c>
      <c r="F36" s="6">
        <f>IF(Loads!C26&lt;&gt;"", I110+R97, "")</f>
        <v>1097.1394421472569</v>
      </c>
      <c r="G36" s="6">
        <f>IF(Loads!C26&lt;&gt;"", F36/E36, "")</f>
        <v>2.0160592468711078</v>
      </c>
      <c r="H36" s="9">
        <f>IF(Loads!C26&lt;&gt;"", G36/G35, "")</f>
        <v>0.96330748914219111</v>
      </c>
      <c r="I36" s="2" t="str">
        <f>IF(Loads!C26&lt;&gt;"", IF(AND(H36&gt;=0.7, H36&lt;=1.3),"OK!","NG!"), "")</f>
        <v>OK!</v>
      </c>
      <c r="M36" s="22"/>
    </row>
    <row r="37" spans="3:13" x14ac:dyDescent="0.25">
      <c r="C37" s="21">
        <v>4</v>
      </c>
      <c r="D37" s="18" t="str">
        <f>IF(Loads!C27&lt;&gt;"", D11, "")</f>
        <v/>
      </c>
      <c r="E37" s="6" t="str">
        <f>IF(Loads!C27&lt;&gt;"", G98+(F98-E98), "")</f>
        <v/>
      </c>
      <c r="F37" s="6" t="str">
        <f>IF(Loads!C27&lt;&gt;"", I111+R98, "")</f>
        <v/>
      </c>
      <c r="G37" s="6" t="str">
        <f>IF(Loads!C27&lt;&gt;"", F37/E37, "")</f>
        <v/>
      </c>
      <c r="H37" s="9" t="str">
        <f>IF(Loads!C27&lt;&gt;"", G37/G36, "")</f>
        <v/>
      </c>
      <c r="I37" s="2" t="str">
        <f>IF(Loads!C27&lt;&gt;"", IF(AND(H37&gt;=0.7, H37&lt;=1.3),"OK!","NG!"), "")</f>
        <v/>
      </c>
      <c r="M37" s="22"/>
    </row>
    <row r="38" spans="3:13" x14ac:dyDescent="0.25">
      <c r="C38" s="21">
        <v>5</v>
      </c>
      <c r="D38" s="18" t="str">
        <f>IF(Loads!C28&lt;&gt;"", D12, "")</f>
        <v/>
      </c>
      <c r="E38" s="6" t="str">
        <f>IF(Loads!C28&lt;&gt;"", G99+(F99-E99), "")</f>
        <v/>
      </c>
      <c r="F38" s="6" t="str">
        <f>IF(Loads!C28&lt;&gt;"", I112+R99, "")</f>
        <v/>
      </c>
      <c r="G38" s="6" t="str">
        <f>IF(Loads!C28&lt;&gt;"", F38/E38, "")</f>
        <v/>
      </c>
      <c r="H38" s="9" t="str">
        <f>IF(Loads!C28&lt;&gt;"", G38/G37, "")</f>
        <v/>
      </c>
      <c r="I38" s="2" t="str">
        <f>IF(Loads!C28&lt;&gt;"", IF(AND(H38&gt;=0.7, H38&lt;=1.3),"OK!","NG!"), "")</f>
        <v/>
      </c>
      <c r="M38" s="22"/>
    </row>
    <row r="39" spans="3:13" x14ac:dyDescent="0.25">
      <c r="C39" s="21">
        <v>6</v>
      </c>
      <c r="D39" s="18" t="str">
        <f>IF(Loads!C29&lt;&gt;"", D13, "")</f>
        <v/>
      </c>
      <c r="E39" s="6" t="str">
        <f>IF(Loads!C29&lt;&gt;"", G100+(F100-E100), "")</f>
        <v/>
      </c>
      <c r="F39" s="6" t="str">
        <f>IF(Loads!C29&lt;&gt;"", I113+R100, "")</f>
        <v/>
      </c>
      <c r="G39" s="6" t="str">
        <f>IF(Loads!C29&lt;&gt;"", F39/E39, "")</f>
        <v/>
      </c>
      <c r="H39" s="9" t="str">
        <f>IF(Loads!C29&lt;&gt;"", G39/G38, "")</f>
        <v/>
      </c>
      <c r="I39" s="2" t="str">
        <f>IF(Loads!C29&lt;&gt;"", IF(AND(H39&gt;=0.7, H39&lt;=1.3),"OK!","NG!"), "")</f>
        <v/>
      </c>
      <c r="M39" s="22"/>
    </row>
    <row r="40" spans="3:13" x14ac:dyDescent="0.25">
      <c r="C40" s="21">
        <v>7</v>
      </c>
      <c r="D40" s="18" t="str">
        <f>IF(Loads!C30&lt;&gt;"", D14, "")</f>
        <v/>
      </c>
      <c r="E40" s="6" t="str">
        <f>IF(Loads!C30&lt;&gt;"", G101+(F101-E101), "")</f>
        <v/>
      </c>
      <c r="F40" s="6" t="str">
        <f>IF(Loads!C30&lt;&gt;"", I114+R101, "")</f>
        <v/>
      </c>
      <c r="G40" s="6" t="str">
        <f>IF(Loads!C30&lt;&gt;"", F40/E40, "")</f>
        <v/>
      </c>
      <c r="H40" s="9" t="str">
        <f>IF(Loads!C30&lt;&gt;"", G40/G39, "")</f>
        <v/>
      </c>
      <c r="I40" s="2" t="str">
        <f>IF(Loads!C30&lt;&gt;"", IF(AND(H40&gt;=0.7, H40&lt;=1.3),"OK!","NG!"), "")</f>
        <v/>
      </c>
      <c r="M40" s="22"/>
    </row>
    <row r="41" spans="3:13" x14ac:dyDescent="0.25">
      <c r="C41" s="21">
        <v>8</v>
      </c>
      <c r="D41" s="18" t="str">
        <f>IF(Loads!C31&lt;&gt;"", D15, "")</f>
        <v/>
      </c>
      <c r="E41" s="6" t="str">
        <f>IF(Loads!C31&lt;&gt;"", G102+(F102-E102), "")</f>
        <v/>
      </c>
      <c r="F41" s="6" t="str">
        <f>IF(Loads!C31&lt;&gt;"", I115+R102, "")</f>
        <v/>
      </c>
      <c r="G41" s="6" t="str">
        <f>IF(Loads!C31&lt;&gt;"", F41/E41, "")</f>
        <v/>
      </c>
      <c r="H41" s="9" t="str">
        <f>IF(Loads!C31&lt;&gt;"", G41/G40, "")</f>
        <v/>
      </c>
      <c r="I41" s="2" t="str">
        <f>IF(Loads!C31&lt;&gt;"", IF(AND(H41&gt;=0.7, H41&lt;=1.3),"OK!","NG!"), "")</f>
        <v/>
      </c>
      <c r="M41" s="22"/>
    </row>
    <row r="42" spans="3:13" ht="15.75" thickBot="1" x14ac:dyDescent="0.3">
      <c r="C42" s="25">
        <v>9</v>
      </c>
      <c r="D42" s="152" t="str">
        <f>IF(Loads!C32&lt;&gt;"", D16, "")</f>
        <v/>
      </c>
      <c r="E42" s="80" t="str">
        <f>IF(Loads!C32&lt;&gt;"", G103+(F103-E103), "")</f>
        <v/>
      </c>
      <c r="F42" s="80" t="str">
        <f>IF(Loads!C32&lt;&gt;"", I116+R103, "")</f>
        <v/>
      </c>
      <c r="G42" s="80" t="str">
        <f>IF(Loads!C32&lt;&gt;"", F42/E42, "")</f>
        <v/>
      </c>
      <c r="H42" s="26" t="str">
        <f>IF(Loads!C32&lt;&gt;"", G42/G41, "")</f>
        <v/>
      </c>
      <c r="I42" s="62" t="str">
        <f>IF(Loads!C32&lt;&gt;"", IF(AND(H42&gt;=0.7, H42&lt;=1.3),"OK!","NG!"), "")</f>
        <v/>
      </c>
      <c r="J42" s="27"/>
      <c r="K42" s="27"/>
      <c r="L42" s="27"/>
      <c r="M42" s="28"/>
    </row>
    <row r="43" spans="3:13" ht="15.75" thickBot="1" x14ac:dyDescent="0.3"/>
    <row r="44" spans="3:13" ht="15.75" x14ac:dyDescent="0.25">
      <c r="C44" s="159" t="s">
        <v>247</v>
      </c>
      <c r="D44" s="156"/>
      <c r="E44" s="156"/>
      <c r="F44" s="156"/>
      <c r="G44" s="156"/>
      <c r="H44" s="156"/>
      <c r="I44" s="156"/>
      <c r="J44" s="156"/>
      <c r="K44" s="156"/>
      <c r="L44" s="127"/>
    </row>
    <row r="45" spans="3:13" x14ac:dyDescent="0.25">
      <c r="C45" s="21" t="s">
        <v>248</v>
      </c>
      <c r="D45" s="6">
        <f>MAX(Loads!C58,D106* 'Cross Sections and Materials'!Q9)</f>
        <v>1.5</v>
      </c>
      <c r="L45" s="22"/>
    </row>
    <row r="46" spans="3:13" x14ac:dyDescent="0.25">
      <c r="C46" s="149" t="s">
        <v>3</v>
      </c>
      <c r="D46" s="125" t="s">
        <v>48</v>
      </c>
      <c r="E46" s="125" t="s">
        <v>51</v>
      </c>
      <c r="F46" s="125" t="s">
        <v>52</v>
      </c>
      <c r="G46" s="125" t="s">
        <v>53</v>
      </c>
      <c r="H46" s="125" t="s">
        <v>259</v>
      </c>
      <c r="I46" s="125" t="s">
        <v>54</v>
      </c>
      <c r="J46" s="125" t="s">
        <v>55</v>
      </c>
      <c r="K46" s="125" t="s">
        <v>49</v>
      </c>
      <c r="L46" s="22"/>
    </row>
    <row r="47" spans="3:13" x14ac:dyDescent="0.25">
      <c r="C47" s="21">
        <v>1</v>
      </c>
      <c r="D47" s="5">
        <f>IF(Loads!C24&lt;&gt;"", E8, "")</f>
        <v>350</v>
      </c>
      <c r="E47" s="189">
        <v>0.47470000000000001</v>
      </c>
      <c r="F47">
        <v>0</v>
      </c>
      <c r="G47" s="5">
        <f>IF(Loads!C24&lt;&gt;"", E47-F47, "")</f>
        <v>0.47470000000000001</v>
      </c>
      <c r="H47" s="6">
        <f>IF(Loads!C24&lt;&gt;"", G47*Loads!$C$60, "")</f>
        <v>1.5038496000000001</v>
      </c>
      <c r="I47" s="5">
        <f>IF(Loads!C24&lt;&gt;"", SUM(Loads!F40:$F$42), "")</f>
        <v>3175.2000000000003</v>
      </c>
      <c r="J47" s="6">
        <f>IF(Loads!C24&lt;&gt;"", SUM(Loads!J40:$J$42), "")</f>
        <v>295.29731169757497</v>
      </c>
      <c r="K47" s="9">
        <f>IF(Loads!C24&lt;&gt;"", I47*H47/(Loads!$C$57*$D$45*CBF_Seismic_Design_Verification!J47*CBF_Seismic_Design_Verification!D47), "")</f>
        <v>2.8000385375902163E-2</v>
      </c>
      <c r="L47" s="41" t="str">
        <f>IF(Loads!C24&lt;&gt;"", IF(K47&lt;0.1,"OK!",IF(K47&lt;0.2,"OK…","NG!")), "")</f>
        <v>OK!</v>
      </c>
    </row>
    <row r="48" spans="3:13" x14ac:dyDescent="0.25">
      <c r="C48" s="21">
        <v>2</v>
      </c>
      <c r="D48" s="5">
        <f>IF(Loads!C25&lt;&gt;"", E9, "")</f>
        <v>350</v>
      </c>
      <c r="E48" s="189">
        <v>0.98419999999999996</v>
      </c>
      <c r="F48" s="5">
        <f>IF(Loads!C25&lt;&gt;"", E47, "")</f>
        <v>0.47470000000000001</v>
      </c>
      <c r="G48" s="5">
        <f>IF(Loads!C25&lt;&gt;"", E48-F48, "")</f>
        <v>0.50949999999999995</v>
      </c>
      <c r="H48" s="6">
        <f>IF(Loads!C25&lt;&gt;"", G48*Loads!$C$60, "")</f>
        <v>1.614096</v>
      </c>
      <c r="I48" s="5">
        <f>IF(Loads!C25&lt;&gt;"", SUM(Loads!F41:$F$42), "")</f>
        <v>2116.8000000000002</v>
      </c>
      <c r="J48" s="6">
        <f>IF(Loads!C25&lt;&gt;"", SUM(Loads!J41:$J$42), "")</f>
        <v>246.08109308131247</v>
      </c>
      <c r="K48" s="9">
        <f>IF(Loads!C25&lt;&gt;"", I48*H48/(Loads!$C$57*$D$45*CBF_Seismic_Design_Verification!J48*CBF_Seismic_Design_Verification!D48), "")</f>
        <v>2.4042462774842469E-2</v>
      </c>
      <c r="L48" s="41" t="str">
        <f>IF(Loads!C25&lt;&gt;"", IF(K48&lt;0.1,"OK!",IF(K48&lt;0.2,"OK…","NG!")), "")</f>
        <v>OK!</v>
      </c>
    </row>
    <row r="49" spans="3:12" x14ac:dyDescent="0.25">
      <c r="C49" s="21">
        <v>3</v>
      </c>
      <c r="D49" s="5">
        <f>IF(Loads!C26&lt;&gt;"", E10, "")</f>
        <v>350</v>
      </c>
      <c r="E49" s="189">
        <v>1.5044999999999999</v>
      </c>
      <c r="F49" s="5">
        <f>IF(Loads!C26&lt;&gt;"", E48, "")</f>
        <v>0.98419999999999996</v>
      </c>
      <c r="G49" s="5">
        <f>IF(Loads!C26&lt;&gt;"", E49-F49, "")</f>
        <v>0.52029999999999998</v>
      </c>
      <c r="H49" s="6">
        <f>IF(Loads!C26&lt;&gt;"", G49*Loads!$C$60, "")</f>
        <v>1.6483104</v>
      </c>
      <c r="I49" s="5">
        <f>IF(Loads!C26&lt;&gt;"", SUM(Loads!F42:$F$42), "")</f>
        <v>1058.4000000000001</v>
      </c>
      <c r="J49" s="6">
        <f>IF(Loads!C26&lt;&gt;"", SUM(Loads!J42:$J$42), "")</f>
        <v>147.64865584878748</v>
      </c>
      <c r="K49" s="9">
        <f>IF(Loads!C26&lt;&gt;"", I49*H49/(Loads!$C$57*$D$45*CBF_Seismic_Design_Verification!J49*CBF_Seismic_Design_Verification!D49), "")</f>
        <v>2.046008076831949E-2</v>
      </c>
      <c r="L49" s="41" t="str">
        <f>IF(Loads!C26&lt;&gt;"", IF(K49&lt;0.1,"OK!",IF(K49&lt;0.2,"OK…","NG!")), "")</f>
        <v>OK!</v>
      </c>
    </row>
    <row r="50" spans="3:12" x14ac:dyDescent="0.25">
      <c r="C50" s="21">
        <v>4</v>
      </c>
      <c r="D50" s="5" t="str">
        <f>IF(Loads!C27&lt;&gt;"", E11, "")</f>
        <v/>
      </c>
      <c r="E50" s="104"/>
      <c r="F50" s="5" t="str">
        <f>IF(Loads!C27&lt;&gt;"", E49, "")</f>
        <v/>
      </c>
      <c r="G50" s="5" t="str">
        <f>IF(Loads!C27&lt;&gt;"", E50-F50, "")</f>
        <v/>
      </c>
      <c r="H50" s="6" t="str">
        <f>IF(Loads!C27&lt;&gt;"", G50*Loads!$C$60, "")</f>
        <v/>
      </c>
      <c r="I50" s="5" t="str">
        <f>IF(Loads!C27&lt;&gt;"", SUM(Loads!F$42:$F43), "")</f>
        <v/>
      </c>
      <c r="J50" s="6" t="str">
        <f>IF(Loads!C27&lt;&gt;"", SUM(Loads!J$42:$J43), "")</f>
        <v/>
      </c>
      <c r="K50" s="9" t="str">
        <f>IF(Loads!C27&lt;&gt;"", I50*H50/(Loads!$C$57*$D$45*CBF_Seismic_Design_Verification!J50*CBF_Seismic_Design_Verification!D50), "")</f>
        <v/>
      </c>
      <c r="L50" s="41" t="str">
        <f>IF(Loads!C27&lt;&gt;"", IF(K50&lt;0.1,"OK!",IF(K50&lt;0.2,"OK…","NG!")), "")</f>
        <v/>
      </c>
    </row>
    <row r="51" spans="3:12" x14ac:dyDescent="0.25">
      <c r="C51" s="21">
        <v>5</v>
      </c>
      <c r="D51" s="5" t="str">
        <f>IF(Loads!C28&lt;&gt;"", E12, "")</f>
        <v/>
      </c>
      <c r="E51" s="104"/>
      <c r="F51" s="5" t="str">
        <f>IF(Loads!C28&lt;&gt;"", E50, "")</f>
        <v/>
      </c>
      <c r="G51" s="5" t="str">
        <f>IF(Loads!C28&lt;&gt;"", E51-F51, "")</f>
        <v/>
      </c>
      <c r="H51" s="6" t="str">
        <f>IF(Loads!C28&lt;&gt;"", G51*Loads!$C$60, "")</f>
        <v/>
      </c>
      <c r="I51" s="5" t="str">
        <f>IF(Loads!C28&lt;&gt;"", SUM(Loads!F$42:$F44), "")</f>
        <v/>
      </c>
      <c r="J51" s="6" t="str">
        <f>IF(Loads!C28&lt;&gt;"", SUM(Loads!J$42:$J44), "")</f>
        <v/>
      </c>
      <c r="K51" s="9" t="str">
        <f>IF(Loads!C28&lt;&gt;"", I51*H51/(Loads!$C$57*$D$45*CBF_Seismic_Design_Verification!J51*CBF_Seismic_Design_Verification!D51), "")</f>
        <v/>
      </c>
      <c r="L51" s="41" t="str">
        <f>IF(Loads!C28&lt;&gt;"", IF(K51&lt;0.1,"OK!",IF(K51&lt;0.2,"OK…","NG!")), "")</f>
        <v/>
      </c>
    </row>
    <row r="52" spans="3:12" x14ac:dyDescent="0.25">
      <c r="C52" s="21">
        <v>6</v>
      </c>
      <c r="D52" s="5" t="str">
        <f>IF(Loads!C29&lt;&gt;"", E13, "")</f>
        <v/>
      </c>
      <c r="E52" s="104"/>
      <c r="F52" s="5" t="str">
        <f>IF(Loads!C29&lt;&gt;"", E51, "")</f>
        <v/>
      </c>
      <c r="G52" s="5" t="str">
        <f>IF(Loads!C29&lt;&gt;"", E52-F52, "")</f>
        <v/>
      </c>
      <c r="H52" s="6" t="str">
        <f>IF(Loads!C29&lt;&gt;"", G52*Loads!$C$60, "")</f>
        <v/>
      </c>
      <c r="I52" s="5" t="str">
        <f>IF(Loads!C29&lt;&gt;"", SUM(Loads!F$42:$F45), "")</f>
        <v/>
      </c>
      <c r="J52" s="6" t="str">
        <f>IF(Loads!C29&lt;&gt;"", SUM(Loads!J$42:$J45), "")</f>
        <v/>
      </c>
      <c r="K52" s="9" t="str">
        <f>IF(Loads!C29&lt;&gt;"", I52*H52/(Loads!$C$57*$D$45*CBF_Seismic_Design_Verification!J52*CBF_Seismic_Design_Verification!D52), "")</f>
        <v/>
      </c>
      <c r="L52" s="41" t="str">
        <f>IF(Loads!C29&lt;&gt;"", IF(K52&lt;0.1,"OK!",IF(K52&lt;0.2,"OK…","NG!")), "")</f>
        <v/>
      </c>
    </row>
    <row r="53" spans="3:12" x14ac:dyDescent="0.25">
      <c r="C53" s="21">
        <v>7</v>
      </c>
      <c r="D53" s="5" t="str">
        <f>IF(Loads!C30&lt;&gt;"", E14, "")</f>
        <v/>
      </c>
      <c r="E53" s="104"/>
      <c r="F53" s="5" t="str">
        <f>IF(Loads!C30&lt;&gt;"", E52, "")</f>
        <v/>
      </c>
      <c r="G53" s="5" t="str">
        <f>IF(Loads!C30&lt;&gt;"", E53-F53, "")</f>
        <v/>
      </c>
      <c r="H53" s="6" t="str">
        <f>IF(Loads!C30&lt;&gt;"", G53*Loads!$C$60, "")</f>
        <v/>
      </c>
      <c r="I53" s="5" t="str">
        <f>IF(Loads!C30&lt;&gt;"", SUM(Loads!F$42:$F46), "")</f>
        <v/>
      </c>
      <c r="J53" s="6" t="str">
        <f>IF(Loads!C30&lt;&gt;"", SUM(Loads!J$42:$J46), "")</f>
        <v/>
      </c>
      <c r="K53" s="9" t="str">
        <f>IF(Loads!C30&lt;&gt;"", I53*H53/(Loads!$C$57*$D$45*CBF_Seismic_Design_Verification!J53*CBF_Seismic_Design_Verification!D53), "")</f>
        <v/>
      </c>
      <c r="L53" s="41" t="str">
        <f>IF(Loads!C30&lt;&gt;"", IF(K53&lt;0.1,"OK!",IF(K53&lt;0.2,"OK…","NG!")), "")</f>
        <v/>
      </c>
    </row>
    <row r="54" spans="3:12" x14ac:dyDescent="0.25">
      <c r="C54" s="21">
        <v>8</v>
      </c>
      <c r="D54" s="5" t="str">
        <f>IF(Loads!C31&lt;&gt;"", E15, "")</f>
        <v/>
      </c>
      <c r="E54" s="104"/>
      <c r="F54" s="5" t="str">
        <f>IF(Loads!C31&lt;&gt;"", E53, "")</f>
        <v/>
      </c>
      <c r="G54" s="5" t="str">
        <f>IF(Loads!C31&lt;&gt;"", E54-F54, "")</f>
        <v/>
      </c>
      <c r="H54" s="6" t="str">
        <f>IF(Loads!C31&lt;&gt;"", G54*Loads!$C$60, "")</f>
        <v/>
      </c>
      <c r="I54" s="5" t="str">
        <f>IF(Loads!C31&lt;&gt;"", SUM(Loads!F$42:$F47), "")</f>
        <v/>
      </c>
      <c r="J54" s="6" t="str">
        <f>IF(Loads!C31&lt;&gt;"", SUM(Loads!J$42:$J47), "")</f>
        <v/>
      </c>
      <c r="K54" s="9" t="str">
        <f>IF(Loads!C31&lt;&gt;"", I54*H54/(Loads!$C$57*$D$45*CBF_Seismic_Design_Verification!J54*CBF_Seismic_Design_Verification!D54), "")</f>
        <v/>
      </c>
      <c r="L54" s="41" t="str">
        <f>IF(Loads!C31&lt;&gt;"", IF(K54&lt;0.1,"OK!",IF(K54&lt;0.2,"OK…","NG!")), "")</f>
        <v/>
      </c>
    </row>
    <row r="55" spans="3:12" ht="15.75" thickBot="1" x14ac:dyDescent="0.3">
      <c r="C55" s="25">
        <v>9</v>
      </c>
      <c r="D55" s="36" t="str">
        <f>IF(Loads!C32&lt;&gt;"", E16, "")</f>
        <v/>
      </c>
      <c r="E55" s="162"/>
      <c r="F55" s="36" t="str">
        <f>IF(Loads!C32&lt;&gt;"", E54, "")</f>
        <v/>
      </c>
      <c r="G55" s="36" t="str">
        <f>IF(Loads!C32&lt;&gt;"", E55-F55, "")</f>
        <v/>
      </c>
      <c r="H55" s="80" t="str">
        <f>IF(Loads!C32&lt;&gt;"", G55*Loads!$C$60, "")</f>
        <v/>
      </c>
      <c r="I55" s="36" t="str">
        <f>IF(Loads!C32&lt;&gt;"", SUM(Loads!F$42:$F48), "")</f>
        <v/>
      </c>
      <c r="J55" s="80" t="str">
        <f>IF(Loads!C32&lt;&gt;"", SUM(Loads!J$42:$J48), "")</f>
        <v/>
      </c>
      <c r="K55" s="26" t="str">
        <f>IF(Loads!C32&lt;&gt;"", I55*H55/(Loads!$C$57*$D$45*CBF_Seismic_Design_Verification!J55*CBF_Seismic_Design_Verification!D55), "")</f>
        <v/>
      </c>
      <c r="L55" s="54" t="str">
        <f>IF(Loads!C32&lt;&gt;"", IF(K55&lt;0.1,"OK!",IF(K55&lt;0.2,"OK…","NG!")), "")</f>
        <v/>
      </c>
    </row>
    <row r="56" spans="3:12" ht="15.75" thickBot="1" x14ac:dyDescent="0.3"/>
    <row r="57" spans="3:12" ht="15.75" x14ac:dyDescent="0.25">
      <c r="C57" s="159" t="s">
        <v>56</v>
      </c>
      <c r="D57" s="156"/>
      <c r="E57" s="156"/>
      <c r="F57" s="156"/>
      <c r="G57" s="156"/>
      <c r="H57" s="156"/>
      <c r="I57" s="156"/>
      <c r="J57" s="156"/>
      <c r="K57" s="127"/>
    </row>
    <row r="58" spans="3:12" ht="18" x14ac:dyDescent="0.35">
      <c r="C58" s="23" t="s">
        <v>57</v>
      </c>
      <c r="D58" s="4">
        <v>1.4999999999999999E-2</v>
      </c>
      <c r="K58" s="22"/>
    </row>
    <row r="59" spans="3:12" ht="18" x14ac:dyDescent="0.35">
      <c r="C59" s="149" t="s">
        <v>3</v>
      </c>
      <c r="D59" s="125" t="s">
        <v>48</v>
      </c>
      <c r="E59" s="125" t="s">
        <v>51</v>
      </c>
      <c r="F59" s="125" t="s">
        <v>52</v>
      </c>
      <c r="G59" s="125" t="s">
        <v>53</v>
      </c>
      <c r="H59" s="125" t="s">
        <v>59</v>
      </c>
      <c r="I59" s="125" t="s">
        <v>58</v>
      </c>
      <c r="J59" s="125" t="s">
        <v>67</v>
      </c>
      <c r="K59" s="22"/>
    </row>
    <row r="60" spans="3:12" x14ac:dyDescent="0.25">
      <c r="C60" s="21">
        <v>1</v>
      </c>
      <c r="D60" s="5">
        <f>IF(Loads!C24&lt;&gt;"", D47, "")</f>
        <v>350</v>
      </c>
      <c r="E60" s="5">
        <f>IF(Loads!C24&lt;&gt;"", E47, "")</f>
        <v>0.47470000000000001</v>
      </c>
      <c r="F60">
        <v>0</v>
      </c>
      <c r="G60" s="5">
        <f>IF(Loads!C24&lt;&gt;"", E60-F60, "")</f>
        <v>0.47470000000000001</v>
      </c>
      <c r="H60" s="5">
        <f>IF(Loads!C24&lt;&gt;"", G60*Loads!$C$60, "")</f>
        <v>1.5038496000000001</v>
      </c>
      <c r="I60" s="5">
        <f>IF(Loads!C24&lt;&gt;"", $D$58*D60, "")</f>
        <v>5.25</v>
      </c>
      <c r="J60" s="9">
        <f>IF(Loads!C24&lt;&gt;"", H60/I60, "")</f>
        <v>0.28644754285714286</v>
      </c>
      <c r="K60" s="41" t="str">
        <f>IF(Loads!C24&lt;&gt;"", IF(J60&lt;1,"OK!","NG!"), "")</f>
        <v>OK!</v>
      </c>
    </row>
    <row r="61" spans="3:12" x14ac:dyDescent="0.25">
      <c r="C61" s="21">
        <v>2</v>
      </c>
      <c r="D61" s="5">
        <f>IF(Loads!C25&lt;&gt;"", D48, "")</f>
        <v>350</v>
      </c>
      <c r="E61" s="5">
        <f>IF(Loads!C25&lt;&gt;"", E48, "")</f>
        <v>0.98419999999999996</v>
      </c>
      <c r="F61" s="5">
        <f>IF(Loads!C25&lt;&gt;"", E60, "")</f>
        <v>0.47470000000000001</v>
      </c>
      <c r="G61" s="5">
        <f>IF(Loads!C25&lt;&gt;"", E61-F61, "")</f>
        <v>0.50949999999999995</v>
      </c>
      <c r="H61" s="5">
        <f>IF(Loads!C25&lt;&gt;"", G61*Loads!$C$60, "")</f>
        <v>1.614096</v>
      </c>
      <c r="I61" s="5">
        <f>IF(Loads!C25&lt;&gt;"", $D$58*D61, "")</f>
        <v>5.25</v>
      </c>
      <c r="J61" s="9">
        <f>IF(Loads!C25&lt;&gt;"", H61/I61, "")</f>
        <v>0.30744685714285713</v>
      </c>
      <c r="K61" s="41" t="str">
        <f>IF(Loads!C25&lt;&gt;"", IF(J61&lt;1,"OK!","NG!"), "")</f>
        <v>OK!</v>
      </c>
    </row>
    <row r="62" spans="3:12" x14ac:dyDescent="0.25">
      <c r="C62" s="21">
        <v>3</v>
      </c>
      <c r="D62" s="5">
        <f>IF(Loads!C26&lt;&gt;"", D49, "")</f>
        <v>350</v>
      </c>
      <c r="E62" s="5">
        <f>IF(Loads!C26&lt;&gt;"", E49, "")</f>
        <v>1.5044999999999999</v>
      </c>
      <c r="F62" s="5">
        <f>IF(Loads!C26&lt;&gt;"", E61, "")</f>
        <v>0.98419999999999996</v>
      </c>
      <c r="G62" s="5">
        <f>IF(Loads!C26&lt;&gt;"", E62-F62, "")</f>
        <v>0.52029999999999998</v>
      </c>
      <c r="H62" s="5">
        <f>IF(Loads!C26&lt;&gt;"", G62*Loads!$C$60, "")</f>
        <v>1.6483104</v>
      </c>
      <c r="I62" s="5">
        <f>IF(Loads!C26&lt;&gt;"", $D$58*D62, "")</f>
        <v>5.25</v>
      </c>
      <c r="J62" s="9">
        <f>IF(Loads!C26&lt;&gt;"", H62/I62, "")</f>
        <v>0.31396388571428568</v>
      </c>
      <c r="K62" s="41" t="str">
        <f>IF(Loads!C26&lt;&gt;"", IF(J62&lt;1,"OK!","NG!"), "")</f>
        <v>OK!</v>
      </c>
    </row>
    <row r="63" spans="3:12" x14ac:dyDescent="0.25">
      <c r="C63" s="21">
        <v>4</v>
      </c>
      <c r="D63" s="5" t="str">
        <f>IF(Loads!C27&lt;&gt;"", D50, "")</f>
        <v/>
      </c>
      <c r="E63" s="5" t="str">
        <f>IF(Loads!C27&lt;&gt;"", E50, "")</f>
        <v/>
      </c>
      <c r="F63" s="5" t="str">
        <f>IF(Loads!C27&lt;&gt;"", E62, "")</f>
        <v/>
      </c>
      <c r="G63" s="5" t="str">
        <f>IF(Loads!C27&lt;&gt;"", E63-F63, "")</f>
        <v/>
      </c>
      <c r="H63" s="5" t="str">
        <f>IF(Loads!C27&lt;&gt;"", G63*Loads!$C$60, "")</f>
        <v/>
      </c>
      <c r="I63" s="5" t="str">
        <f>IF(Loads!C27&lt;&gt;"", $D$58*D63, "")</f>
        <v/>
      </c>
      <c r="J63" s="9" t="str">
        <f>IF(Loads!C27&lt;&gt;"", H63/I63, "")</f>
        <v/>
      </c>
      <c r="K63" s="41" t="str">
        <f>IF(Loads!C27&lt;&gt;"", IF(J63&lt;1,"OK!","NG!"), "")</f>
        <v/>
      </c>
    </row>
    <row r="64" spans="3:12" x14ac:dyDescent="0.25">
      <c r="C64" s="21">
        <v>5</v>
      </c>
      <c r="D64" s="5" t="str">
        <f>IF(Loads!C28&lt;&gt;"", D51, "")</f>
        <v/>
      </c>
      <c r="E64" s="5" t="str">
        <f>IF(Loads!C28&lt;&gt;"", E51, "")</f>
        <v/>
      </c>
      <c r="F64" s="5" t="str">
        <f>IF(Loads!C28&lt;&gt;"", E63, "")</f>
        <v/>
      </c>
      <c r="G64" s="5" t="str">
        <f>IF(Loads!C28&lt;&gt;"", E64-F64, "")</f>
        <v/>
      </c>
      <c r="H64" s="5" t="str">
        <f>IF(Loads!C28&lt;&gt;"", G64*Loads!$C$60, "")</f>
        <v/>
      </c>
      <c r="I64" s="5" t="str">
        <f>IF(Loads!C28&lt;&gt;"", $D$58*D64, "")</f>
        <v/>
      </c>
      <c r="J64" s="9" t="str">
        <f>IF(Loads!C28&lt;&gt;"", H64/I64, "")</f>
        <v/>
      </c>
      <c r="K64" s="41" t="str">
        <f>IF(Loads!C28&lt;&gt;"", IF(J64&lt;1,"OK!","NG!"), "")</f>
        <v/>
      </c>
    </row>
    <row r="65" spans="3:11" x14ac:dyDescent="0.25">
      <c r="C65" s="21">
        <v>6</v>
      </c>
      <c r="D65" s="5" t="str">
        <f>IF(Loads!C29&lt;&gt;"", D52, "")</f>
        <v/>
      </c>
      <c r="E65" s="5" t="str">
        <f>IF(Loads!C29&lt;&gt;"", E52, "")</f>
        <v/>
      </c>
      <c r="F65" s="5" t="str">
        <f>IF(Loads!C29&lt;&gt;"", E64, "")</f>
        <v/>
      </c>
      <c r="G65" s="5" t="str">
        <f>IF(Loads!C29&lt;&gt;"", E65-F65, "")</f>
        <v/>
      </c>
      <c r="H65" s="5" t="str">
        <f>IF(Loads!C29&lt;&gt;"", G65*Loads!$C$60, "")</f>
        <v/>
      </c>
      <c r="I65" s="5" t="str">
        <f>IF(Loads!C29&lt;&gt;"", $D$58*D65, "")</f>
        <v/>
      </c>
      <c r="J65" s="9" t="str">
        <f>IF(Loads!C29&lt;&gt;"", H65/I65, "")</f>
        <v/>
      </c>
      <c r="K65" s="41" t="str">
        <f>IF(Loads!C29&lt;&gt;"", IF(J65&lt;1,"OK!","NG!"), "")</f>
        <v/>
      </c>
    </row>
    <row r="66" spans="3:11" x14ac:dyDescent="0.25">
      <c r="C66" s="21">
        <v>7</v>
      </c>
      <c r="D66" s="5" t="str">
        <f>IF(Loads!C30&lt;&gt;"", D53, "")</f>
        <v/>
      </c>
      <c r="E66" s="5" t="str">
        <f>IF(Loads!C30&lt;&gt;"", E53, "")</f>
        <v/>
      </c>
      <c r="F66" s="5" t="str">
        <f>IF(Loads!C30&lt;&gt;"", E65, "")</f>
        <v/>
      </c>
      <c r="G66" s="5" t="str">
        <f>IF(Loads!C30&lt;&gt;"", E66-F66, "")</f>
        <v/>
      </c>
      <c r="H66" s="5" t="str">
        <f>IF(Loads!C30&lt;&gt;"", G66*Loads!$C$60, "")</f>
        <v/>
      </c>
      <c r="I66" s="5" t="str">
        <f>IF(Loads!C30&lt;&gt;"", $D$58*D66, "")</f>
        <v/>
      </c>
      <c r="J66" s="9" t="str">
        <f>IF(Loads!C30&lt;&gt;"", H66/I66, "")</f>
        <v/>
      </c>
      <c r="K66" s="41" t="str">
        <f>IF(Loads!C30&lt;&gt;"", IF(J66&lt;1,"OK!","NG!"), "")</f>
        <v/>
      </c>
    </row>
    <row r="67" spans="3:11" x14ac:dyDescent="0.25">
      <c r="C67" s="21">
        <v>8</v>
      </c>
      <c r="D67" s="5" t="str">
        <f>IF(Loads!C31&lt;&gt;"", D54, "")</f>
        <v/>
      </c>
      <c r="E67" s="5" t="str">
        <f>IF(Loads!C31&lt;&gt;"", E54, "")</f>
        <v/>
      </c>
      <c r="F67" s="5" t="str">
        <f>IF(Loads!C31&lt;&gt;"", E66, "")</f>
        <v/>
      </c>
      <c r="G67" s="5" t="str">
        <f>IF(Loads!C31&lt;&gt;"", E67-F67, "")</f>
        <v/>
      </c>
      <c r="H67" s="5" t="str">
        <f>IF(Loads!C31&lt;&gt;"", G67*Loads!$C$60, "")</f>
        <v/>
      </c>
      <c r="I67" s="5" t="str">
        <f>IF(Loads!C31&lt;&gt;"", $D$58*D67, "")</f>
        <v/>
      </c>
      <c r="J67" s="9" t="str">
        <f>IF(Loads!C31&lt;&gt;"", H67/I67, "")</f>
        <v/>
      </c>
      <c r="K67" s="41" t="str">
        <f>IF(Loads!C31&lt;&gt;"", IF(J67&lt;1,"OK!","NG!"), "")</f>
        <v/>
      </c>
    </row>
    <row r="68" spans="3:11" ht="15.75" thickBot="1" x14ac:dyDescent="0.3">
      <c r="C68" s="25">
        <v>9</v>
      </c>
      <c r="D68" s="36" t="str">
        <f>IF(Loads!C32&lt;&gt;"", D55, "")</f>
        <v/>
      </c>
      <c r="E68" s="36" t="str">
        <f>IF(Loads!C32&lt;&gt;"", E55, "")</f>
        <v/>
      </c>
      <c r="F68" s="36" t="str">
        <f>IF(Loads!C32&lt;&gt;"", E67, "")</f>
        <v/>
      </c>
      <c r="G68" s="36" t="str">
        <f>IF(Loads!C32&lt;&gt;"", E68-F68, "")</f>
        <v/>
      </c>
      <c r="H68" s="36" t="str">
        <f>IF(Loads!C32&lt;&gt;"", G68*Loads!$C$60, "")</f>
        <v/>
      </c>
      <c r="I68" s="36" t="str">
        <f>IF(Loads!C32&lt;&gt;"", $D$58*D68, "")</f>
        <v/>
      </c>
      <c r="J68" s="26" t="str">
        <f>IF(Loads!C32&lt;&gt;"", H68/I68, "")</f>
        <v/>
      </c>
      <c r="K68" s="54" t="str">
        <f>IF(Loads!C32&lt;&gt;"", IF(J68&lt;1,"OK!","NG!"), "")</f>
        <v/>
      </c>
    </row>
    <row r="69" spans="3:11" ht="15.75" thickBot="1" x14ac:dyDescent="0.3"/>
    <row r="70" spans="3:11" ht="15.75" x14ac:dyDescent="0.25">
      <c r="C70" s="159" t="s">
        <v>78</v>
      </c>
      <c r="D70" s="156"/>
      <c r="E70" s="156"/>
      <c r="F70" s="156"/>
      <c r="G70" s="156"/>
      <c r="H70" s="127"/>
    </row>
    <row r="71" spans="3:11" ht="15.75" thickBot="1" x14ac:dyDescent="0.3">
      <c r="C71" s="25" t="s">
        <v>77</v>
      </c>
      <c r="D71" s="27"/>
      <c r="E71" s="27"/>
      <c r="F71" s="27"/>
      <c r="G71" s="27"/>
      <c r="H71" s="28"/>
    </row>
    <row r="73" spans="3:11" ht="15.75" x14ac:dyDescent="0.25">
      <c r="C73" s="160" t="s">
        <v>82</v>
      </c>
    </row>
    <row r="74" spans="3:11" ht="15.75" thickBot="1" x14ac:dyDescent="0.3">
      <c r="C74" s="10"/>
    </row>
    <row r="75" spans="3:11" x14ac:dyDescent="0.25">
      <c r="C75" s="166" t="s">
        <v>60</v>
      </c>
      <c r="D75" s="158">
        <f>'Cross Sections and Materials'!Q4</f>
        <v>23.5</v>
      </c>
      <c r="E75" s="127" t="s">
        <v>61</v>
      </c>
    </row>
    <row r="76" spans="3:11" x14ac:dyDescent="0.25">
      <c r="C76" s="21" t="s">
        <v>62</v>
      </c>
      <c r="D76" s="5">
        <f>'Cross Sections and Materials'!Q6</f>
        <v>1</v>
      </c>
      <c r="E76" s="22"/>
    </row>
    <row r="77" spans="3:11" x14ac:dyDescent="0.25">
      <c r="C77" s="21" t="s">
        <v>125</v>
      </c>
      <c r="D77" s="5">
        <f>'Cross Sections and Materials'!Q7</f>
        <v>1.1000000000000001</v>
      </c>
      <c r="E77" s="22"/>
    </row>
    <row r="78" spans="3:11" ht="18.75" thickBot="1" x14ac:dyDescent="0.4">
      <c r="C78" s="167" t="s">
        <v>71</v>
      </c>
      <c r="D78" s="36">
        <f>'Cross Sections and Materials'!Q8</f>
        <v>93.9</v>
      </c>
      <c r="E78" s="28"/>
    </row>
    <row r="79" spans="3:11" ht="15.75" thickBot="1" x14ac:dyDescent="0.3">
      <c r="C79" s="1"/>
      <c r="D79" s="5"/>
    </row>
    <row r="80" spans="3:11" ht="15.75" x14ac:dyDescent="0.25">
      <c r="C80" s="159" t="s">
        <v>83</v>
      </c>
      <c r="D80" s="156"/>
      <c r="E80" s="156"/>
      <c r="F80" s="156"/>
      <c r="G80" s="156"/>
      <c r="H80" s="156"/>
      <c r="I80" s="156"/>
      <c r="J80" s="127"/>
    </row>
    <row r="81" spans="3:21" x14ac:dyDescent="0.25">
      <c r="C81" s="149" t="s">
        <v>3</v>
      </c>
      <c r="D81" s="125" t="s">
        <v>63</v>
      </c>
      <c r="E81" s="125" t="s">
        <v>79</v>
      </c>
      <c r="F81" s="125" t="s">
        <v>80</v>
      </c>
      <c r="G81" s="125" t="s">
        <v>81</v>
      </c>
      <c r="H81" s="125" t="s">
        <v>315</v>
      </c>
      <c r="I81" s="125" t="s">
        <v>67</v>
      </c>
      <c r="J81" s="41"/>
    </row>
    <row r="82" spans="3:21" x14ac:dyDescent="0.25">
      <c r="C82" s="21">
        <v>1</v>
      </c>
      <c r="D82" s="18" t="str">
        <f>IF(Loads!C24&lt;&gt;"", D8, "")</f>
        <v>CHS 193.7x6</v>
      </c>
      <c r="E82" s="5">
        <f>IF(Loads!C24&lt;&gt;"", 'Cross Sections and Materials'!D13, "")</f>
        <v>193.7</v>
      </c>
      <c r="F82" s="5">
        <f>IF(Loads!C24&lt;&gt;"", 'Cross Sections and Materials'!E13, "")</f>
        <v>6</v>
      </c>
      <c r="G82" s="5">
        <f>IF(Loads!C24&lt;&gt;"", E82/F82, "")</f>
        <v>32.283333333333331</v>
      </c>
      <c r="H82" s="5">
        <f>IF(Loads!C24&lt;&gt;"", 70*SQRT(235/($D$75*10))^2, "")</f>
        <v>70</v>
      </c>
      <c r="I82" s="9">
        <f>IF(Loads!C24&lt;&gt;"", G82/MIN(H82), "")</f>
        <v>0.46119047619047615</v>
      </c>
      <c r="J82" s="41" t="str">
        <f>IF(Loads!C24&lt;&gt;"", IF(I82&lt;1,"OK!","NG!"), "")</f>
        <v>OK!</v>
      </c>
    </row>
    <row r="83" spans="3:21" x14ac:dyDescent="0.25">
      <c r="C83" s="21">
        <v>2</v>
      </c>
      <c r="D83" s="18" t="str">
        <f>IF(Loads!C25&lt;&gt;"", D9, "")</f>
        <v>CHS 193.7x6</v>
      </c>
      <c r="E83" s="5">
        <f>IF(Loads!C25&lt;&gt;"", 'Cross Sections and Materials'!D14, "")</f>
        <v>193.7</v>
      </c>
      <c r="F83" s="5">
        <f>IF(Loads!C25&lt;&gt;"", 'Cross Sections and Materials'!E14, "")</f>
        <v>6</v>
      </c>
      <c r="G83" s="5">
        <f>IF(Loads!C25&lt;&gt;"", E83/F83, "")</f>
        <v>32.283333333333331</v>
      </c>
      <c r="H83" s="5">
        <f>IF(Loads!C25&lt;&gt;"", 70*SQRT(235/($D$75*10))^2, "")</f>
        <v>70</v>
      </c>
      <c r="I83" s="9">
        <f>IF(Loads!C25&lt;&gt;"", G83/MIN(H83), "")</f>
        <v>0.46119047619047615</v>
      </c>
      <c r="J83" s="41" t="str">
        <f>IF(Loads!C25&lt;&gt;"", IF(I83&lt;1,"OK!","NG!"), "")</f>
        <v>OK!</v>
      </c>
    </row>
    <row r="84" spans="3:21" x14ac:dyDescent="0.25">
      <c r="C84" s="21">
        <v>3</v>
      </c>
      <c r="D84" s="18" t="str">
        <f>IF(Loads!C26&lt;&gt;"", D10, "")</f>
        <v>CHS 177.8x6.3</v>
      </c>
      <c r="E84" s="5">
        <f>IF(Loads!C26&lt;&gt;"", 'Cross Sections and Materials'!D15, "")</f>
        <v>177.8</v>
      </c>
      <c r="F84" s="5">
        <f>IF(Loads!C26&lt;&gt;"", 'Cross Sections and Materials'!E15, "")</f>
        <v>6.3</v>
      </c>
      <c r="G84" s="5">
        <f>IF(Loads!C26&lt;&gt;"", E84/F84, "")</f>
        <v>28.222222222222225</v>
      </c>
      <c r="H84" s="5">
        <f>IF(Loads!C26&lt;&gt;"", 70*SQRT(235/($D$75*10))^2, "")</f>
        <v>70</v>
      </c>
      <c r="I84" s="9">
        <f>IF(Loads!C26&lt;&gt;"", G84/MIN(H84), "")</f>
        <v>0.40317460317460324</v>
      </c>
      <c r="J84" s="41" t="str">
        <f>IF(Loads!C26&lt;&gt;"", IF(I84&lt;1,"OK!","NG!"), "")</f>
        <v>OK!</v>
      </c>
    </row>
    <row r="85" spans="3:21" x14ac:dyDescent="0.25">
      <c r="C85" s="21">
        <v>4</v>
      </c>
      <c r="D85" s="18" t="str">
        <f>IF(Loads!C27&lt;&gt;"", D11, "")</f>
        <v/>
      </c>
      <c r="E85" s="5" t="str">
        <f>IF(Loads!C27&lt;&gt;"", 'Cross Sections and Materials'!D16, "")</f>
        <v/>
      </c>
      <c r="F85" s="5" t="str">
        <f>IF(Loads!C27&lt;&gt;"", 'Cross Sections and Materials'!E16, "")</f>
        <v/>
      </c>
      <c r="G85" s="5" t="str">
        <f>IF(Loads!C27&lt;&gt;"", E85/F85, "")</f>
        <v/>
      </c>
      <c r="H85" s="5" t="str">
        <f>IF(Loads!C27&lt;&gt;"", 70*SQRT(235/($D$75*10))^2, "")</f>
        <v/>
      </c>
      <c r="I85" s="9" t="str">
        <f>IF(Loads!C27&lt;&gt;"", G85/MIN(H85), "")</f>
        <v/>
      </c>
      <c r="J85" s="41" t="str">
        <f>IF(Loads!C27&lt;&gt;"", IF(I85&lt;1,"OK!","NG!"), "")</f>
        <v/>
      </c>
    </row>
    <row r="86" spans="3:21" x14ac:dyDescent="0.25">
      <c r="C86" s="21">
        <v>5</v>
      </c>
      <c r="D86" s="18" t="str">
        <f>IF(Loads!C28&lt;&gt;"", D12, "")</f>
        <v/>
      </c>
      <c r="E86" s="5" t="str">
        <f>IF(Loads!C28&lt;&gt;"", 'Cross Sections and Materials'!D17, "")</f>
        <v/>
      </c>
      <c r="F86" s="5" t="str">
        <f>IF(Loads!C28&lt;&gt;"", 'Cross Sections and Materials'!E17, "")</f>
        <v/>
      </c>
      <c r="G86" s="5" t="str">
        <f>IF(Loads!C28&lt;&gt;"", E86/F86, "")</f>
        <v/>
      </c>
      <c r="H86" s="5" t="str">
        <f>IF(Loads!C28&lt;&gt;"", 70*SQRT(235/($D$75*10))^2, "")</f>
        <v/>
      </c>
      <c r="I86" s="9" t="str">
        <f>IF(Loads!C28&lt;&gt;"", G86/MIN(H86), "")</f>
        <v/>
      </c>
      <c r="J86" s="41" t="str">
        <f>IF(Loads!C28&lt;&gt;"", IF(I86&lt;1,"OK!","NG!"), "")</f>
        <v/>
      </c>
    </row>
    <row r="87" spans="3:21" x14ac:dyDescent="0.25">
      <c r="C87" s="21">
        <v>6</v>
      </c>
      <c r="D87" s="18" t="str">
        <f>IF(Loads!C29&lt;&gt;"", D13, "")</f>
        <v/>
      </c>
      <c r="E87" s="5" t="str">
        <f>IF(Loads!C29&lt;&gt;"", 'Cross Sections and Materials'!D18, "")</f>
        <v/>
      </c>
      <c r="F87" s="5" t="str">
        <f>IF(Loads!C29&lt;&gt;"", 'Cross Sections and Materials'!E18, "")</f>
        <v/>
      </c>
      <c r="G87" s="5" t="str">
        <f>IF(Loads!C29&lt;&gt;"", E87/F87, "")</f>
        <v/>
      </c>
      <c r="H87" s="5" t="str">
        <f>IF(Loads!C29&lt;&gt;"", 70*SQRT(235/($D$75*10))^2, "")</f>
        <v/>
      </c>
      <c r="I87" s="9" t="str">
        <f>IF(Loads!C29&lt;&gt;"", G87/MIN(H87), "")</f>
        <v/>
      </c>
      <c r="J87" s="41" t="str">
        <f>IF(Loads!C29&lt;&gt;"", IF(I87&lt;1,"OK!","NG!"), "")</f>
        <v/>
      </c>
    </row>
    <row r="88" spans="3:21" x14ac:dyDescent="0.25">
      <c r="C88" s="21">
        <v>7</v>
      </c>
      <c r="D88" s="18" t="str">
        <f>IF(Loads!C30&lt;&gt;"", D14, "")</f>
        <v/>
      </c>
      <c r="E88" s="5" t="str">
        <f>IF(Loads!C30&lt;&gt;"", 'Cross Sections and Materials'!D19, "")</f>
        <v/>
      </c>
      <c r="F88" s="5" t="str">
        <f>IF(Loads!C30&lt;&gt;"", 'Cross Sections and Materials'!E19, "")</f>
        <v/>
      </c>
      <c r="G88" s="5" t="str">
        <f>IF(Loads!C30&lt;&gt;"", E88/F88, "")</f>
        <v/>
      </c>
      <c r="H88" s="5" t="str">
        <f>IF(Loads!C30&lt;&gt;"", 70*SQRT(235/($D$75*10))^2, "")</f>
        <v/>
      </c>
      <c r="I88" s="9" t="str">
        <f>IF(Loads!C30&lt;&gt;"", G88/MIN(H88), "")</f>
        <v/>
      </c>
      <c r="J88" s="41" t="str">
        <f>IF(Loads!C30&lt;&gt;"", IF(I88&lt;1,"OK!","NG!"), "")</f>
        <v/>
      </c>
    </row>
    <row r="89" spans="3:21" x14ac:dyDescent="0.25">
      <c r="C89" s="21">
        <v>8</v>
      </c>
      <c r="D89" s="18" t="str">
        <f>IF(Loads!C31&lt;&gt;"", D15, "")</f>
        <v/>
      </c>
      <c r="E89" s="5" t="str">
        <f>IF(Loads!C31&lt;&gt;"", 'Cross Sections and Materials'!D20, "")</f>
        <v/>
      </c>
      <c r="F89" s="5" t="str">
        <f>IF(Loads!C31&lt;&gt;"", 'Cross Sections and Materials'!E20, "")</f>
        <v/>
      </c>
      <c r="G89" s="5" t="str">
        <f>IF(Loads!C31&lt;&gt;"", E89/F89, "")</f>
        <v/>
      </c>
      <c r="H89" s="5" t="str">
        <f>IF(Loads!C31&lt;&gt;"", 70*SQRT(235/($D$75*10))^2, "")</f>
        <v/>
      </c>
      <c r="I89" s="9" t="str">
        <f>IF(Loads!C31&lt;&gt;"", G89/MIN(H89), "")</f>
        <v/>
      </c>
      <c r="J89" s="41" t="str">
        <f>IF(Loads!C31&lt;&gt;"", IF(I89&lt;1,"OK!","NG!"), "")</f>
        <v/>
      </c>
    </row>
    <row r="90" spans="3:21" ht="15.75" thickBot="1" x14ac:dyDescent="0.3">
      <c r="C90" s="25">
        <v>9</v>
      </c>
      <c r="D90" s="152" t="str">
        <f>IF(Loads!C32&lt;&gt;"", D16, "")</f>
        <v/>
      </c>
      <c r="E90" s="36" t="str">
        <f>IF(Loads!C32&lt;&gt;"", 'Cross Sections and Materials'!D21, "")</f>
        <v/>
      </c>
      <c r="F90" s="36" t="str">
        <f>IF(Loads!C32&lt;&gt;"", 'Cross Sections and Materials'!E21, "")</f>
        <v/>
      </c>
      <c r="G90" s="36" t="str">
        <f>IF(Loads!C32&lt;&gt;"", E90/F90, "")</f>
        <v/>
      </c>
      <c r="H90" s="36" t="str">
        <f>IF(Loads!C32&lt;&gt;"", 70*SQRT(235/($D$75*10))^2, "")</f>
        <v/>
      </c>
      <c r="I90" s="80" t="str">
        <f>IF(Loads!C32&lt;&gt;"", G90/MIN(H90), "")</f>
        <v/>
      </c>
      <c r="J90" s="54" t="str">
        <f>IF(Loads!C32&lt;&gt;"", IF(I90&lt;1,"OK!","NG!"), "")</f>
        <v/>
      </c>
    </row>
    <row r="91" spans="3:21" ht="15.75" thickBot="1" x14ac:dyDescent="0.3"/>
    <row r="92" spans="3:21" ht="15.75" x14ac:dyDescent="0.25">
      <c r="C92" s="159" t="s">
        <v>84</v>
      </c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27"/>
    </row>
    <row r="93" spans="3:21" x14ac:dyDescent="0.25">
      <c r="C93" s="24"/>
      <c r="D93" s="9"/>
      <c r="E93" s="174"/>
      <c r="F93" s="11"/>
      <c r="T93" s="22"/>
    </row>
    <row r="94" spans="3:21" x14ac:dyDescent="0.25">
      <c r="C94" s="149" t="s">
        <v>3</v>
      </c>
      <c r="D94" s="125" t="s">
        <v>63</v>
      </c>
      <c r="E94" s="125" t="s">
        <v>99</v>
      </c>
      <c r="F94" s="125" t="s">
        <v>98</v>
      </c>
      <c r="G94" s="125" t="s">
        <v>100</v>
      </c>
      <c r="H94" s="125" t="s">
        <v>109</v>
      </c>
      <c r="I94" s="125" t="s">
        <v>108</v>
      </c>
      <c r="J94" s="125" t="s">
        <v>64</v>
      </c>
      <c r="K94" s="125" t="s">
        <v>69</v>
      </c>
      <c r="L94" s="125" t="s">
        <v>68</v>
      </c>
      <c r="M94" s="125" t="s">
        <v>70</v>
      </c>
      <c r="N94" s="125" t="s">
        <v>72</v>
      </c>
      <c r="O94" s="125" t="s">
        <v>73</v>
      </c>
      <c r="P94" s="125" t="s">
        <v>74</v>
      </c>
      <c r="Q94" s="125" t="s">
        <v>25</v>
      </c>
      <c r="R94" s="125" t="s">
        <v>75</v>
      </c>
      <c r="S94" s="125" t="s">
        <v>67</v>
      </c>
      <c r="T94" s="22"/>
      <c r="U94" s="1"/>
    </row>
    <row r="95" spans="3:21" x14ac:dyDescent="0.25">
      <c r="C95" s="21">
        <v>1</v>
      </c>
      <c r="D95" s="18" t="str">
        <f>IF(Loads!C24&lt;&gt;"", D8, "")</f>
        <v>CHS 193.7x6</v>
      </c>
      <c r="E95" s="189">
        <v>23.55</v>
      </c>
      <c r="F95" s="192">
        <v>338.6</v>
      </c>
      <c r="G95" s="13">
        <f>IF(Loads!C24&lt;&gt;"", E95+F95, "")</f>
        <v>362.15000000000003</v>
      </c>
      <c r="H95" s="5">
        <f>IF(Loads!C24&lt;&gt;"", D60, "")</f>
        <v>350</v>
      </c>
      <c r="I95" s="5">
        <f>IF(Loads!C24&lt;&gt;"", F8, "")</f>
        <v>700</v>
      </c>
      <c r="J95" s="18">
        <f>IF(Loads!C24&lt;&gt;"", G8, "")</f>
        <v>35.380000000000003</v>
      </c>
      <c r="K95" s="5">
        <f>IF(Loads!C24&lt;&gt;"", 'Cross Sections and Materials'!G13, "")</f>
        <v>6.64</v>
      </c>
      <c r="L95" s="6">
        <f>IF(Loads!C24&lt;&gt;"", SQRT(H95^2+I95^2), "")</f>
        <v>782.62379212492635</v>
      </c>
      <c r="M95" s="5">
        <f>IF(Loads!C24&lt;&gt;"", 0.8*L95, "")</f>
        <v>626.09903369994117</v>
      </c>
      <c r="N95" s="9">
        <f>IF(Loads!C24&lt;&gt;"", M95/K95/$D$78, "")</f>
        <v>1.0041749004002289</v>
      </c>
      <c r="O95" s="5">
        <f>IF(Loads!C24&lt;&gt;"", 'Cross Sections and Materials'!I13, "")</f>
        <v>0.49</v>
      </c>
      <c r="P95" s="6">
        <f>IF(Loads!C24&lt;&gt;"", 0.5*(1+$O$95*(N95-0.2)+N95^2), "")</f>
        <v>1.2012064658949608</v>
      </c>
      <c r="Q95" s="9">
        <f>IF(Loads!C24&lt;&gt;"", MIN(1/(P95+SQRT(P95^2-N95^2)), 1), "")</f>
        <v>0.53752020966438308</v>
      </c>
      <c r="R95" s="6">
        <f>IF(Loads!C24&lt;&gt;"", Q95*J95*$D$75/$D$77, "")</f>
        <v>406.28220720114365</v>
      </c>
      <c r="S95" s="9">
        <f>IF(Loads!C24&lt;&gt;"", G95/R95, "")</f>
        <v>0.89137548625334095</v>
      </c>
      <c r="T95" s="41" t="str">
        <f>IF(Loads!C24&lt;&gt;"", IF(S95&lt;1,"OK!","NG!"), "")</f>
        <v>OK!</v>
      </c>
    </row>
    <row r="96" spans="3:21" x14ac:dyDescent="0.25">
      <c r="C96" s="21">
        <v>2</v>
      </c>
      <c r="D96" s="18" t="str">
        <f>IF(Loads!C25&lt;&gt;"", D9, "")</f>
        <v>CHS 193.7x6</v>
      </c>
      <c r="E96" s="189">
        <v>23.1</v>
      </c>
      <c r="F96" s="192">
        <v>295.7</v>
      </c>
      <c r="G96" s="13">
        <f>IF(Loads!C25&lt;&gt;"", E96+F96, "")</f>
        <v>318.8</v>
      </c>
      <c r="H96" s="5">
        <f>IF(Loads!C25&lt;&gt;"", D61, "")</f>
        <v>350</v>
      </c>
      <c r="I96" s="5">
        <f>IF(Loads!C25&lt;&gt;"", F9, "")</f>
        <v>700</v>
      </c>
      <c r="J96" s="18">
        <f>IF(Loads!C25&lt;&gt;"", G9, "")</f>
        <v>35.380000000000003</v>
      </c>
      <c r="K96" s="5">
        <f>IF(Loads!C25&lt;&gt;"", 'Cross Sections and Materials'!G14, "")</f>
        <v>6.64</v>
      </c>
      <c r="L96" s="6">
        <f>IF(Loads!C25&lt;&gt;"", SQRT(H96^2+I96^2), "")</f>
        <v>782.62379212492635</v>
      </c>
      <c r="M96" s="5">
        <f>IF(Loads!C25&lt;&gt;"", 0.8*L96, "")</f>
        <v>626.09903369994117</v>
      </c>
      <c r="N96" s="9">
        <f>IF(Loads!C25&lt;&gt;"", M96/K96/$D$78, "")</f>
        <v>1.0041749004002289</v>
      </c>
      <c r="O96" s="5">
        <f>IF(Loads!C25&lt;&gt;"", 'Cross Sections and Materials'!I14, "")</f>
        <v>0.49</v>
      </c>
      <c r="P96" s="6">
        <f>IF(Loads!C25&lt;&gt;"", 0.5*(1+$O$95*(N96-0.2)+N96^2), "")</f>
        <v>1.2012064658949608</v>
      </c>
      <c r="Q96" s="9">
        <f>IF(Loads!C25&lt;&gt;"", MIN(1/(P96+SQRT(P96^2-N96^2)), 1), "")</f>
        <v>0.53752020966438308</v>
      </c>
      <c r="R96" s="6">
        <f>IF(Loads!C25&lt;&gt;"", Q96*J96*$D$75/$D$77, "")</f>
        <v>406.28220720114365</v>
      </c>
      <c r="S96" s="9">
        <f>IF(Loads!C25&lt;&gt;"", G96/R96, "")</f>
        <v>0.78467625298236943</v>
      </c>
      <c r="T96" s="41" t="str">
        <f>IF(Loads!C25&lt;&gt;"", IF(S96&lt;1,"OK!","NG!"), "")</f>
        <v>OK!</v>
      </c>
    </row>
    <row r="97" spans="3:20" x14ac:dyDescent="0.25">
      <c r="C97" s="21">
        <v>3</v>
      </c>
      <c r="D97" s="18" t="str">
        <f>IF(Loads!C26&lt;&gt;"", D10, "")</f>
        <v>CHS 177.8x6.3</v>
      </c>
      <c r="E97" s="189">
        <v>23.2</v>
      </c>
      <c r="F97" s="192">
        <v>272.10000000000002</v>
      </c>
      <c r="G97" s="13">
        <f>IF(Loads!C26&lt;&gt;"", E97+F97, "")</f>
        <v>295.3</v>
      </c>
      <c r="H97" s="5">
        <f>IF(Loads!C26&lt;&gt;"", D62, "")</f>
        <v>350</v>
      </c>
      <c r="I97" s="5">
        <f>IF(Loads!C26&lt;&gt;"", F10, "")</f>
        <v>700</v>
      </c>
      <c r="J97" s="18">
        <f>IF(Loads!C26&lt;&gt;"", G10, "")</f>
        <v>32.380000000000003</v>
      </c>
      <c r="K97" s="5">
        <f>IF(Loads!C26&lt;&gt;"", 'Cross Sections and Materials'!G15, "")</f>
        <v>6.08</v>
      </c>
      <c r="L97" s="6">
        <f>IF(Loads!C26&lt;&gt;"", SQRT(H97^2+I97^2), "")</f>
        <v>782.62379212492635</v>
      </c>
      <c r="M97" s="5">
        <f>IF(Loads!C26&lt;&gt;"", 0.8*L97, "")</f>
        <v>626.09903369994117</v>
      </c>
      <c r="N97" s="9">
        <f>IF(Loads!C26&lt;&gt;"", M97/K97/$D$78, "")</f>
        <v>1.0966646938581448</v>
      </c>
      <c r="O97" s="5">
        <f>IF(Loads!C26&lt;&gt;"", 'Cross Sections and Materials'!I15, "")</f>
        <v>0.49</v>
      </c>
      <c r="P97" s="6">
        <f>IF(Loads!C26&lt;&gt;"", 0.5*(1+$O$95*(N97-0.2)+N97^2), "")</f>
        <v>1.3210195753727347</v>
      </c>
      <c r="Q97" s="9">
        <f>IF(Loads!C26&lt;&gt;"", MIN(1/(P97+SQRT(P97^2-N97^2)), 1), "")</f>
        <v>0.48602418929728419</v>
      </c>
      <c r="R97" s="6">
        <f>IF(Loads!C26&lt;&gt;"", Q97*J97*$D$75/$D$77, "")</f>
        <v>336.20944214725682</v>
      </c>
      <c r="S97" s="9">
        <f>IF(Loads!C26&lt;&gt;"", G97/R97, "")</f>
        <v>0.87832155490344965</v>
      </c>
      <c r="T97" s="41" t="str">
        <f>IF(Loads!C26&lt;&gt;"", IF(S97&lt;1,"OK!","NG!"), "")</f>
        <v>OK!</v>
      </c>
    </row>
    <row r="98" spans="3:20" x14ac:dyDescent="0.25">
      <c r="C98" s="21">
        <v>4</v>
      </c>
      <c r="D98" s="18" t="str">
        <f>IF(Loads!C27&lt;&gt;"", D11, "")</f>
        <v/>
      </c>
      <c r="E98" s="104"/>
      <c r="F98" s="171"/>
      <c r="G98" s="13" t="str">
        <f>IF(Loads!C27&lt;&gt;"", E98+F98, "")</f>
        <v/>
      </c>
      <c r="H98" s="5" t="str">
        <f>IF(Loads!C27&lt;&gt;"", D63, "")</f>
        <v/>
      </c>
      <c r="I98" s="5" t="str">
        <f>IF(Loads!C27&lt;&gt;"", F11, "")</f>
        <v/>
      </c>
      <c r="J98" s="18" t="str">
        <f>IF(Loads!C27&lt;&gt;"", G11, "")</f>
        <v/>
      </c>
      <c r="K98" s="5" t="str">
        <f>IF(Loads!C27&lt;&gt;"", 'Cross Sections and Materials'!G16, "")</f>
        <v/>
      </c>
      <c r="L98" s="6" t="str">
        <f>IF(Loads!C27&lt;&gt;"", SQRT(H98^2+I98^2), "")</f>
        <v/>
      </c>
      <c r="M98" s="5" t="str">
        <f>IF(Loads!C27&lt;&gt;"", 0.8*L98, "")</f>
        <v/>
      </c>
      <c r="N98" s="9" t="str">
        <f>IF(Loads!C27&lt;&gt;"", M98/K98/$D$78, "")</f>
        <v/>
      </c>
      <c r="O98" s="5" t="str">
        <f>IF(Loads!C27&lt;&gt;"", 'Cross Sections and Materials'!I16, "")</f>
        <v/>
      </c>
      <c r="P98" s="6" t="str">
        <f>IF(Loads!C27&lt;&gt;"", 0.5*(1+$O$95*(N98-0.2)+N98^2), "")</f>
        <v/>
      </c>
      <c r="Q98" s="9" t="str">
        <f>IF(Loads!C27&lt;&gt;"", MIN(1/(P98+SQRT(P98^2-N98^2)), 1), "")</f>
        <v/>
      </c>
      <c r="R98" s="6" t="str">
        <f>IF(Loads!C27&lt;&gt;"", Q98*J98*$D$75/$D$77, "")</f>
        <v/>
      </c>
      <c r="S98" s="9" t="str">
        <f>IF(Loads!C27&lt;&gt;"", G98/R98, "")</f>
        <v/>
      </c>
      <c r="T98" s="41" t="str">
        <f>IF(Loads!C27&lt;&gt;"", IF(S98&lt;1,"OK!","NG!"), "")</f>
        <v/>
      </c>
    </row>
    <row r="99" spans="3:20" x14ac:dyDescent="0.25">
      <c r="C99" s="21">
        <v>5</v>
      </c>
      <c r="D99" s="18" t="str">
        <f>IF(Loads!C28&lt;&gt;"", D12, "")</f>
        <v/>
      </c>
      <c r="E99" s="104"/>
      <c r="F99" s="171"/>
      <c r="G99" s="13" t="str">
        <f>IF(Loads!C28&lt;&gt;"", E99+F99, "")</f>
        <v/>
      </c>
      <c r="H99" s="5" t="str">
        <f>IF(Loads!C28&lt;&gt;"", D64, "")</f>
        <v/>
      </c>
      <c r="I99" s="5" t="str">
        <f>IF(Loads!C28&lt;&gt;"", F12, "")</f>
        <v/>
      </c>
      <c r="J99" s="18" t="str">
        <f>IF(Loads!C28&lt;&gt;"", G12, "")</f>
        <v/>
      </c>
      <c r="K99" s="5" t="str">
        <f>IF(Loads!C28&lt;&gt;"", 'Cross Sections and Materials'!G17, "")</f>
        <v/>
      </c>
      <c r="L99" s="6" t="str">
        <f>IF(Loads!C28&lt;&gt;"", SQRT(H99^2+I99^2), "")</f>
        <v/>
      </c>
      <c r="M99" s="5" t="str">
        <f>IF(Loads!C28&lt;&gt;"", 0.8*L99, "")</f>
        <v/>
      </c>
      <c r="N99" s="9" t="str">
        <f>IF(Loads!C28&lt;&gt;"", M99/K99/$D$78, "")</f>
        <v/>
      </c>
      <c r="O99" s="5" t="str">
        <f>IF(Loads!C28&lt;&gt;"", 'Cross Sections and Materials'!I17, "")</f>
        <v/>
      </c>
      <c r="P99" s="6" t="str">
        <f>IF(Loads!C28&lt;&gt;"", 0.5*(1+$O$95*(N99-0.2)+N99^2), "")</f>
        <v/>
      </c>
      <c r="Q99" s="9" t="str">
        <f>IF(Loads!C28&lt;&gt;"", MIN(1/(P99+SQRT(P99^2-N99^2)), 1), "")</f>
        <v/>
      </c>
      <c r="R99" s="6" t="str">
        <f>IF(Loads!C28&lt;&gt;"", Q99*J99*$D$75/$D$77, "")</f>
        <v/>
      </c>
      <c r="S99" s="9" t="str">
        <f>IF(Loads!C28&lt;&gt;"", G99/R99, "")</f>
        <v/>
      </c>
      <c r="T99" s="41" t="str">
        <f>IF(Loads!C28&lt;&gt;"", IF(S99&lt;1,"OK!","NG!"), "")</f>
        <v/>
      </c>
    </row>
    <row r="100" spans="3:20" x14ac:dyDescent="0.25">
      <c r="C100" s="21">
        <v>6</v>
      </c>
      <c r="D100" s="18" t="str">
        <f>IF(Loads!C29&lt;&gt;"", D13, "")</f>
        <v/>
      </c>
      <c r="E100" s="104"/>
      <c r="F100" s="171"/>
      <c r="G100" s="13" t="str">
        <f>IF(Loads!C29&lt;&gt;"", E100+F100, "")</f>
        <v/>
      </c>
      <c r="H100" s="5" t="str">
        <f>IF(Loads!C29&lt;&gt;"", D65, "")</f>
        <v/>
      </c>
      <c r="I100" s="5" t="str">
        <f>IF(Loads!C29&lt;&gt;"", F13, "")</f>
        <v/>
      </c>
      <c r="J100" s="18" t="str">
        <f>IF(Loads!C29&lt;&gt;"", G13, "")</f>
        <v/>
      </c>
      <c r="K100" s="5" t="str">
        <f>IF(Loads!C29&lt;&gt;"", 'Cross Sections and Materials'!G18, "")</f>
        <v/>
      </c>
      <c r="L100" s="6" t="str">
        <f>IF(Loads!C29&lt;&gt;"", SQRT(H100^2+I100^2), "")</f>
        <v/>
      </c>
      <c r="M100" s="5" t="str">
        <f>IF(Loads!C29&lt;&gt;"", 0.8*L100, "")</f>
        <v/>
      </c>
      <c r="N100" s="9" t="str">
        <f>IF(Loads!C29&lt;&gt;"", M100/K100/$D$78, "")</f>
        <v/>
      </c>
      <c r="O100" s="5" t="str">
        <f>IF(Loads!C29&lt;&gt;"", 'Cross Sections and Materials'!I18, "")</f>
        <v/>
      </c>
      <c r="P100" s="6" t="str">
        <f>IF(Loads!C29&lt;&gt;"", 0.5*(1+$O$95*(N100-0.2)+N100^2), "")</f>
        <v/>
      </c>
      <c r="Q100" s="9" t="str">
        <f>IF(Loads!C29&lt;&gt;"", MIN(1/(P100+SQRT(P100^2-N100^2)), 1), "")</f>
        <v/>
      </c>
      <c r="R100" s="6" t="str">
        <f>IF(Loads!C29&lt;&gt;"", Q100*J100*$D$75/$D$77, "")</f>
        <v/>
      </c>
      <c r="S100" s="9" t="str">
        <f>IF(Loads!C29&lt;&gt;"", G100/R100, "")</f>
        <v/>
      </c>
      <c r="T100" s="41" t="str">
        <f>IF(Loads!C29&lt;&gt;"", IF(S100&lt;1,"OK!","NG!"), "")</f>
        <v/>
      </c>
    </row>
    <row r="101" spans="3:20" x14ac:dyDescent="0.25">
      <c r="C101" s="21">
        <v>7</v>
      </c>
      <c r="D101" s="18" t="str">
        <f>IF(Loads!C30&lt;&gt;"", D14, "")</f>
        <v/>
      </c>
      <c r="E101" s="104"/>
      <c r="F101" s="171"/>
      <c r="G101" s="13" t="str">
        <f>IF(Loads!C30&lt;&gt;"", E101+F101, "")</f>
        <v/>
      </c>
      <c r="H101" s="5" t="str">
        <f>IF(Loads!C30&lt;&gt;"", D66, "")</f>
        <v/>
      </c>
      <c r="I101" s="5" t="str">
        <f>IF(Loads!C30&lt;&gt;"", F14, "")</f>
        <v/>
      </c>
      <c r="J101" s="18" t="str">
        <f>IF(Loads!C30&lt;&gt;"", G14, "")</f>
        <v/>
      </c>
      <c r="K101" s="5" t="str">
        <f>IF(Loads!C30&lt;&gt;"", 'Cross Sections and Materials'!G19, "")</f>
        <v/>
      </c>
      <c r="L101" s="6" t="str">
        <f>IF(Loads!C30&lt;&gt;"", SQRT(H101^2+I101^2), "")</f>
        <v/>
      </c>
      <c r="M101" s="5" t="str">
        <f>IF(Loads!C30&lt;&gt;"", 0.8*L101, "")</f>
        <v/>
      </c>
      <c r="N101" s="9" t="str">
        <f>IF(Loads!C30&lt;&gt;"", M101/K101/$D$78, "")</f>
        <v/>
      </c>
      <c r="O101" s="5" t="str">
        <f>IF(Loads!C30&lt;&gt;"", 'Cross Sections and Materials'!I19, "")</f>
        <v/>
      </c>
      <c r="P101" s="6" t="str">
        <f>IF(Loads!C30&lt;&gt;"", 0.5*(1+$O$95*(N101-0.2)+N101^2), "")</f>
        <v/>
      </c>
      <c r="Q101" s="9" t="str">
        <f>IF(Loads!C30&lt;&gt;"", MIN(1/(P101+SQRT(P101^2-N101^2)), 1), "")</f>
        <v/>
      </c>
      <c r="R101" s="6" t="str">
        <f>IF(Loads!C30&lt;&gt;"", Q101*J101*$D$75/$D$77, "")</f>
        <v/>
      </c>
      <c r="S101" s="9" t="str">
        <f>IF(Loads!C30&lt;&gt;"", G101/R101, "")</f>
        <v/>
      </c>
      <c r="T101" s="41" t="str">
        <f>IF(Loads!C30&lt;&gt;"", IF(S101&lt;1,"OK!","NG!"), "")</f>
        <v/>
      </c>
    </row>
    <row r="102" spans="3:20" x14ac:dyDescent="0.25">
      <c r="C102" s="21">
        <v>8</v>
      </c>
      <c r="D102" s="18" t="str">
        <f>IF(Loads!C31&lt;&gt;"", D15, "")</f>
        <v/>
      </c>
      <c r="E102" s="104"/>
      <c r="F102" s="171"/>
      <c r="G102" s="13" t="str">
        <f>IF(Loads!C31&lt;&gt;"", E102+F102, "")</f>
        <v/>
      </c>
      <c r="H102" s="5" t="str">
        <f>IF(Loads!C31&lt;&gt;"", D67, "")</f>
        <v/>
      </c>
      <c r="I102" s="5" t="str">
        <f>IF(Loads!C31&lt;&gt;"", F15, "")</f>
        <v/>
      </c>
      <c r="J102" s="18" t="str">
        <f>IF(Loads!C31&lt;&gt;"", G15, "")</f>
        <v/>
      </c>
      <c r="K102" s="5" t="str">
        <f>IF(Loads!C31&lt;&gt;"", 'Cross Sections and Materials'!G20, "")</f>
        <v/>
      </c>
      <c r="L102" s="6" t="str">
        <f>IF(Loads!C31&lt;&gt;"", SQRT(H102^2+I102^2), "")</f>
        <v/>
      </c>
      <c r="M102" s="5" t="str">
        <f>IF(Loads!C31&lt;&gt;"", 0.8*L102, "")</f>
        <v/>
      </c>
      <c r="N102" s="9" t="str">
        <f>IF(Loads!C31&lt;&gt;"", M102/K102/$D$78, "")</f>
        <v/>
      </c>
      <c r="O102" s="5" t="str">
        <f>IF(Loads!C31&lt;&gt;"", 'Cross Sections and Materials'!I20, "")</f>
        <v/>
      </c>
      <c r="P102" s="6" t="str">
        <f>IF(Loads!C31&lt;&gt;"", 0.5*(1+$O$95*(N102-0.2)+N102^2), "")</f>
        <v/>
      </c>
      <c r="Q102" s="9" t="str">
        <f>IF(Loads!C31&lt;&gt;"", MIN(1/(P102+SQRT(P102^2-N102^2)), 1), "")</f>
        <v/>
      </c>
      <c r="R102" s="6" t="str">
        <f>IF(Loads!C31&lt;&gt;"", Q102*J102*$D$75/$D$77, "")</f>
        <v/>
      </c>
      <c r="S102" s="9" t="str">
        <f>IF(Loads!C31&lt;&gt;"", G102/R102, "")</f>
        <v/>
      </c>
      <c r="T102" s="41" t="str">
        <f>IF(Loads!C31&lt;&gt;"", IF(S102&lt;1,"OK!","NG!"), "")</f>
        <v/>
      </c>
    </row>
    <row r="103" spans="3:20" ht="15.75" thickBot="1" x14ac:dyDescent="0.3">
      <c r="C103" s="25">
        <v>9</v>
      </c>
      <c r="D103" s="152" t="str">
        <f>IF(Loads!C32&lt;&gt;"", D16, "")</f>
        <v/>
      </c>
      <c r="E103" s="162"/>
      <c r="F103" s="172"/>
      <c r="G103" s="53" t="str">
        <f>IF(Loads!C32&lt;&gt;"", E103+F103, "")</f>
        <v/>
      </c>
      <c r="H103" s="36" t="str">
        <f>IF(Loads!C32&lt;&gt;"", D68, "")</f>
        <v/>
      </c>
      <c r="I103" s="36" t="str">
        <f>IF(Loads!C32&lt;&gt;"", F16, "")</f>
        <v/>
      </c>
      <c r="J103" s="152" t="str">
        <f>IF(Loads!C32&lt;&gt;"", G16, "")</f>
        <v/>
      </c>
      <c r="K103" s="36" t="str">
        <f>IF(Loads!C32&lt;&gt;"", 'Cross Sections and Materials'!G21, "")</f>
        <v/>
      </c>
      <c r="L103" s="80" t="str">
        <f>IF(Loads!C32&lt;&gt;"", SQRT(H103^2+I103^2), "")</f>
        <v/>
      </c>
      <c r="M103" s="36" t="str">
        <f>IF(Loads!C32&lt;&gt;"", 0.8*L103, "")</f>
        <v/>
      </c>
      <c r="N103" s="36" t="str">
        <f>IF(Loads!C32&lt;&gt;"", M103/K103/$D$78, "")</f>
        <v/>
      </c>
      <c r="O103" s="36" t="str">
        <f>IF(Loads!C32&lt;&gt;"", 'Cross Sections and Materials'!I21, "")</f>
        <v/>
      </c>
      <c r="P103" s="80" t="str">
        <f>IF(Loads!C32&lt;&gt;"", 0.5*(1+$O$95*(N103-0.2)+N103^2), "")</f>
        <v/>
      </c>
      <c r="Q103" s="26" t="str">
        <f>IF(Loads!C32&lt;&gt;"", MIN(1/(P103+SQRT(P103^2-N103^2)), 1), "")</f>
        <v/>
      </c>
      <c r="R103" s="80" t="str">
        <f>IF(Loads!C32&lt;&gt;"", Q103*J103*$D$75/$D$77, "")</f>
        <v/>
      </c>
      <c r="S103" s="26" t="str">
        <f>IF(Loads!C32&lt;&gt;"", G103/R103, "")</f>
        <v/>
      </c>
      <c r="T103" s="54" t="str">
        <f>IF(Loads!C32&lt;&gt;"", IF(S103&lt;1,"OK!","NG!"), "")</f>
        <v/>
      </c>
    </row>
    <row r="104" spans="3:20" ht="15.75" thickBot="1" x14ac:dyDescent="0.3"/>
    <row r="105" spans="3:20" s="20" customFormat="1" ht="15.75" x14ac:dyDescent="0.25">
      <c r="C105" s="168" t="s">
        <v>76</v>
      </c>
      <c r="D105" s="169"/>
      <c r="E105" s="169"/>
      <c r="F105" s="169"/>
      <c r="G105" s="169"/>
      <c r="H105" s="169"/>
      <c r="I105" s="169"/>
      <c r="J105" s="169"/>
      <c r="K105" s="170"/>
    </row>
    <row r="106" spans="3:20" s="20" customFormat="1" x14ac:dyDescent="0.25">
      <c r="C106" s="24"/>
      <c r="D106" s="6"/>
      <c r="E106" s="6"/>
      <c r="K106" s="97"/>
    </row>
    <row r="107" spans="3:20" x14ac:dyDescent="0.25">
      <c r="C107" s="149" t="s">
        <v>3</v>
      </c>
      <c r="D107" s="125" t="s">
        <v>63</v>
      </c>
      <c r="E107" s="125" t="s">
        <v>99</v>
      </c>
      <c r="F107" s="125" t="s">
        <v>98</v>
      </c>
      <c r="G107" s="125" t="s">
        <v>64</v>
      </c>
      <c r="H107" s="125" t="s">
        <v>65</v>
      </c>
      <c r="I107" s="125" t="s">
        <v>66</v>
      </c>
      <c r="J107" s="125" t="s">
        <v>67</v>
      </c>
      <c r="K107" s="41"/>
    </row>
    <row r="108" spans="3:20" x14ac:dyDescent="0.25">
      <c r="C108" s="21">
        <v>1</v>
      </c>
      <c r="D108" s="18" t="str">
        <f>IF(Loads!C24&lt;&gt;"", D8, "")</f>
        <v>CHS 193.7x6</v>
      </c>
      <c r="E108" s="189">
        <v>23.55</v>
      </c>
      <c r="F108" s="192">
        <v>-339</v>
      </c>
      <c r="G108" s="18">
        <f>IF(Loads!C24&lt;&gt;"", J95, "")</f>
        <v>35.380000000000003</v>
      </c>
      <c r="H108" s="15">
        <f>IF(Loads!C24&lt;&gt;"",E108+F108,"")</f>
        <v>-315.45</v>
      </c>
      <c r="I108" s="13">
        <f>IF(Loads!C24&lt;&gt;"", G108*$D$75/$D$76, "")</f>
        <v>831.43000000000006</v>
      </c>
      <c r="J108" s="9">
        <f>IF(Loads!C24&lt;&gt;"",ABS(H108)/I108,"")</f>
        <v>0.37940656459353156</v>
      </c>
      <c r="K108" s="41" t="str">
        <f>IF(Loads!C24&lt;&gt;"", IF(J108&lt;1,"OK!","NG!"), "")</f>
        <v>OK!</v>
      </c>
    </row>
    <row r="109" spans="3:20" x14ac:dyDescent="0.25">
      <c r="C109" s="21">
        <v>2</v>
      </c>
      <c r="D109" s="18" t="str">
        <f>IF(Loads!C25&lt;&gt;"", D9, "")</f>
        <v>CHS 193.7x6</v>
      </c>
      <c r="E109" s="189">
        <v>23.1</v>
      </c>
      <c r="F109" s="192">
        <v>-296</v>
      </c>
      <c r="G109" s="18">
        <f>IF(Loads!C25&lt;&gt;"", J96, "")</f>
        <v>35.380000000000003</v>
      </c>
      <c r="H109" s="15">
        <f>IF(Loads!C25&lt;&gt;"",E109+F109,"")</f>
        <v>-272.89999999999998</v>
      </c>
      <c r="I109" s="13">
        <f>IF(Loads!C25&lt;&gt;"", G109*$D$75/$D$76, "")</f>
        <v>831.43000000000006</v>
      </c>
      <c r="J109" s="9">
        <f>IF(Loads!C25&lt;&gt;"",ABS(H109)/I109,"")</f>
        <v>0.32822967658131169</v>
      </c>
      <c r="K109" s="41" t="str">
        <f>IF(Loads!C25&lt;&gt;"", IF(J109&lt;1,"OK!","NG!"), "")</f>
        <v>OK!</v>
      </c>
    </row>
    <row r="110" spans="3:20" x14ac:dyDescent="0.25">
      <c r="C110" s="21">
        <v>3</v>
      </c>
      <c r="D110" s="18" t="str">
        <f>IF(Loads!C26&lt;&gt;"", D10, "")</f>
        <v>CHS 177.8x6.3</v>
      </c>
      <c r="E110" s="189">
        <v>23.2</v>
      </c>
      <c r="F110" s="192">
        <v>-272</v>
      </c>
      <c r="G110" s="18">
        <f>IF(Loads!C26&lt;&gt;"", J97, "")</f>
        <v>32.380000000000003</v>
      </c>
      <c r="H110" s="15">
        <f>IF(Loads!C26&lt;&gt;"",E110+F110,"")</f>
        <v>-248.8</v>
      </c>
      <c r="I110" s="13">
        <f>IF(Loads!C26&lt;&gt;"", G110*$D$75/$D$76, "")</f>
        <v>760.93000000000006</v>
      </c>
      <c r="J110" s="9">
        <f>IF(Loads!C26&lt;&gt;"",ABS(H110)/I110,"")</f>
        <v>0.32696831508811586</v>
      </c>
      <c r="K110" s="41" t="str">
        <f>IF(Loads!C26&lt;&gt;"", IF(J110&lt;1,"OK!","NG!"), "")</f>
        <v>OK!</v>
      </c>
    </row>
    <row r="111" spans="3:20" x14ac:dyDescent="0.25">
      <c r="C111" s="21">
        <v>4</v>
      </c>
      <c r="D111" s="18" t="str">
        <f>IF(Loads!C27&lt;&gt;"", D11, "")</f>
        <v/>
      </c>
      <c r="E111" s="104"/>
      <c r="F111" s="171"/>
      <c r="G111" s="18" t="str">
        <f>IF(Loads!C27&lt;&gt;"", J98, "")</f>
        <v/>
      </c>
      <c r="H111" s="15" t="str">
        <f>IF(Loads!C27&lt;&gt;"",E111+F111,"")</f>
        <v/>
      </c>
      <c r="I111" s="13" t="str">
        <f>IF(Loads!C27&lt;&gt;"", G111*$D$75/$D$76, "")</f>
        <v/>
      </c>
      <c r="J111" s="9" t="str">
        <f>IF(Loads!C27&lt;&gt;"",ABS(H111)/I111,"")</f>
        <v/>
      </c>
      <c r="K111" s="41" t="str">
        <f>IF(Loads!C27&lt;&gt;"", IF(J111&lt;1,"OK!","NG!"), "")</f>
        <v/>
      </c>
    </row>
    <row r="112" spans="3:20" x14ac:dyDescent="0.25">
      <c r="C112" s="21">
        <v>5</v>
      </c>
      <c r="D112" s="18" t="str">
        <f>IF(Loads!C28&lt;&gt;"", D12, "")</f>
        <v/>
      </c>
      <c r="E112" s="104"/>
      <c r="F112" s="171"/>
      <c r="G112" s="18" t="str">
        <f>IF(Loads!C28&lt;&gt;"", J99, "")</f>
        <v/>
      </c>
      <c r="H112" s="15" t="str">
        <f>IF(Loads!C28&lt;&gt;"",E112+F112,"")</f>
        <v/>
      </c>
      <c r="I112" s="13" t="str">
        <f>IF(Loads!C28&lt;&gt;"", G112*$D$75/$D$76, "")</f>
        <v/>
      </c>
      <c r="J112" s="9" t="str">
        <f>IF(Loads!C28&lt;&gt;"",ABS(H112)/I112,"")</f>
        <v/>
      </c>
      <c r="K112" s="41" t="str">
        <f>IF(Loads!C28&lt;&gt;"", IF(J112&lt;1,"OK!","NG!"), "")</f>
        <v/>
      </c>
    </row>
    <row r="113" spans="3:18" x14ac:dyDescent="0.25">
      <c r="C113" s="21">
        <v>6</v>
      </c>
      <c r="D113" s="18" t="str">
        <f>IF(Loads!C29&lt;&gt;"", D13, "")</f>
        <v/>
      </c>
      <c r="E113" s="104"/>
      <c r="F113" s="171"/>
      <c r="G113" s="18" t="str">
        <f>IF(Loads!C29&lt;&gt;"", J100, "")</f>
        <v/>
      </c>
      <c r="H113" s="15" t="str">
        <f>IF(Loads!C29&lt;&gt;"",E113+F113,"")</f>
        <v/>
      </c>
      <c r="I113" s="13" t="str">
        <f>IF(Loads!C29&lt;&gt;"", G113*$D$75/$D$76, "")</f>
        <v/>
      </c>
      <c r="J113" s="9" t="str">
        <f>IF(Loads!C29&lt;&gt;"",ABS(H113)/I113,"")</f>
        <v/>
      </c>
      <c r="K113" s="41" t="str">
        <f>IF(Loads!C29&lt;&gt;"", IF(J113&lt;1,"OK!","NG!"), "")</f>
        <v/>
      </c>
    </row>
    <row r="114" spans="3:18" x14ac:dyDescent="0.25">
      <c r="C114" s="21">
        <v>7</v>
      </c>
      <c r="D114" s="18" t="str">
        <f>IF(Loads!C30&lt;&gt;"", D14, "")</f>
        <v/>
      </c>
      <c r="E114" s="104"/>
      <c r="F114" s="171"/>
      <c r="G114" s="18" t="str">
        <f>IF(Loads!C30&lt;&gt;"", J101, "")</f>
        <v/>
      </c>
      <c r="H114" s="15" t="str">
        <f>IF(Loads!C30&lt;&gt;"",E114+F114,"")</f>
        <v/>
      </c>
      <c r="I114" s="13" t="str">
        <f>IF(Loads!C30&lt;&gt;"", G114*$D$75/$D$76, "")</f>
        <v/>
      </c>
      <c r="J114" s="9" t="str">
        <f>IF(Loads!C30&lt;&gt;"",ABS(H114)/I114,"")</f>
        <v/>
      </c>
      <c r="K114" s="41" t="str">
        <f>IF(Loads!C30&lt;&gt;"", IF(J114&lt;1,"OK!","NG!"), "")</f>
        <v/>
      </c>
    </row>
    <row r="115" spans="3:18" x14ac:dyDescent="0.25">
      <c r="C115" s="21">
        <v>8</v>
      </c>
      <c r="D115" s="18" t="str">
        <f>IF(Loads!C31&lt;&gt;"", D15, "")</f>
        <v/>
      </c>
      <c r="E115" s="104"/>
      <c r="F115" s="171"/>
      <c r="G115" s="18" t="str">
        <f>IF(Loads!C31&lt;&gt;"", J102, "")</f>
        <v/>
      </c>
      <c r="H115" s="15" t="str">
        <f>IF(Loads!C31&lt;&gt;"",E115+F115,"")</f>
        <v/>
      </c>
      <c r="I115" s="13" t="str">
        <f>IF(Loads!C31&lt;&gt;"", G115*$D$75/$D$76, "")</f>
        <v/>
      </c>
      <c r="J115" s="9" t="str">
        <f>IF(Loads!C31&lt;&gt;"",ABS(H115)/I115,"")</f>
        <v/>
      </c>
      <c r="K115" s="41" t="str">
        <f>IF(Loads!C31&lt;&gt;"", IF(J115&lt;1,"OK!","NG!"), "")</f>
        <v/>
      </c>
    </row>
    <row r="116" spans="3:18" ht="15.75" thickBot="1" x14ac:dyDescent="0.3">
      <c r="C116" s="25">
        <v>9</v>
      </c>
      <c r="D116" s="152" t="str">
        <f>IF(Loads!C32&lt;&gt;"", D16, "")</f>
        <v/>
      </c>
      <c r="E116" s="162"/>
      <c r="F116" s="172"/>
      <c r="G116" s="152" t="str">
        <f>IF(Loads!C32&lt;&gt;"", J103, "")</f>
        <v/>
      </c>
      <c r="H116" s="173" t="str">
        <f>IF(Loads!C32&lt;&gt;"",E116+F116,"")</f>
        <v/>
      </c>
      <c r="I116" s="53" t="str">
        <f>IF(Loads!C32&lt;&gt;"", G116*$D$75/$D$76, "")</f>
        <v/>
      </c>
      <c r="J116" s="26" t="str">
        <f>IF(Loads!C32&lt;&gt;"",ABS(H116)/I116,"")</f>
        <v/>
      </c>
      <c r="K116" s="54" t="str">
        <f>IF(Loads!C32&lt;&gt;"", IF(J116&lt;1,"OK!","NG!"), "")</f>
        <v/>
      </c>
    </row>
    <row r="117" spans="3:18" x14ac:dyDescent="0.25">
      <c r="D117" s="18"/>
      <c r="E117" s="4"/>
      <c r="F117" s="11"/>
      <c r="G117" s="18"/>
      <c r="H117" s="15"/>
      <c r="I117" s="13"/>
      <c r="J117" s="6"/>
      <c r="K117" s="9"/>
      <c r="L117" s="2"/>
    </row>
    <row r="118" spans="3:18" x14ac:dyDescent="0.25">
      <c r="C118" s="177" t="s">
        <v>316</v>
      </c>
    </row>
    <row r="119" spans="3:18" ht="15.75" thickBot="1" x14ac:dyDescent="0.3"/>
    <row r="120" spans="3:18" ht="15.75" x14ac:dyDescent="0.25">
      <c r="C120" s="159" t="s">
        <v>317</v>
      </c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27"/>
    </row>
    <row r="121" spans="3:18" x14ac:dyDescent="0.25">
      <c r="C121" s="24" t="s">
        <v>137</v>
      </c>
      <c r="D121" s="104">
        <v>22</v>
      </c>
      <c r="E121" t="s">
        <v>257</v>
      </c>
      <c r="R121" s="22"/>
    </row>
    <row r="122" spans="3:18" x14ac:dyDescent="0.25">
      <c r="C122" s="149" t="s">
        <v>250</v>
      </c>
      <c r="D122" s="125" t="s">
        <v>251</v>
      </c>
      <c r="E122" s="125" t="s">
        <v>252</v>
      </c>
      <c r="F122" s="125"/>
      <c r="G122" s="125" t="s">
        <v>255</v>
      </c>
      <c r="H122" s="125" t="s">
        <v>98</v>
      </c>
      <c r="I122" s="125" t="s">
        <v>253</v>
      </c>
      <c r="J122" s="125"/>
      <c r="K122" s="125" t="s">
        <v>256</v>
      </c>
      <c r="L122" s="125" t="s">
        <v>100</v>
      </c>
      <c r="M122" s="125" t="s">
        <v>254</v>
      </c>
      <c r="R122" s="22"/>
    </row>
    <row r="123" spans="3:18" x14ac:dyDescent="0.25">
      <c r="C123" s="201">
        <v>7718</v>
      </c>
      <c r="D123" s="189">
        <v>-18.329999999999998</v>
      </c>
      <c r="E123" s="104">
        <v>0</v>
      </c>
      <c r="G123" s="104">
        <v>0</v>
      </c>
      <c r="H123" s="189">
        <v>-258.2</v>
      </c>
      <c r="I123" s="104">
        <v>0</v>
      </c>
      <c r="K123" s="5">
        <f>C123+G123</f>
        <v>7718</v>
      </c>
      <c r="L123" s="5">
        <f>D123+H123</f>
        <v>-276.52999999999997</v>
      </c>
      <c r="M123" s="5">
        <f>E123+I123</f>
        <v>0</v>
      </c>
      <c r="R123" s="22"/>
    </row>
    <row r="124" spans="3:18" x14ac:dyDescent="0.25">
      <c r="C124" s="50"/>
      <c r="D124" s="4"/>
      <c r="E124" s="4"/>
      <c r="G124" s="4"/>
      <c r="H124" s="4"/>
      <c r="I124" s="4"/>
      <c r="K124" s="5"/>
      <c r="L124" s="5"/>
      <c r="M124" s="5"/>
      <c r="R124" s="22"/>
    </row>
    <row r="125" spans="3:18" ht="18" x14ac:dyDescent="0.35">
      <c r="C125" s="149" t="s">
        <v>63</v>
      </c>
      <c r="D125" s="125" t="s">
        <v>92</v>
      </c>
      <c r="E125" s="125" t="s">
        <v>93</v>
      </c>
      <c r="F125" s="125" t="s">
        <v>104</v>
      </c>
      <c r="G125" s="125" t="s">
        <v>95</v>
      </c>
      <c r="H125" s="125" t="s">
        <v>105</v>
      </c>
      <c r="I125" s="125" t="s">
        <v>96</v>
      </c>
      <c r="J125" s="125" t="s">
        <v>94</v>
      </c>
      <c r="K125" s="125" t="s">
        <v>101</v>
      </c>
      <c r="L125" s="125" t="s">
        <v>102</v>
      </c>
      <c r="M125" s="125" t="s">
        <v>103</v>
      </c>
      <c r="N125" s="125" t="s">
        <v>110</v>
      </c>
      <c r="O125" s="125" t="s">
        <v>106</v>
      </c>
      <c r="P125" s="125" t="s">
        <v>107</v>
      </c>
      <c r="R125" s="22"/>
    </row>
    <row r="126" spans="3:18" x14ac:dyDescent="0.25">
      <c r="C126" s="73" t="str">
        <f>'Cross Sections and Materials'!B5</f>
        <v>IPE 360</v>
      </c>
      <c r="D126" s="16">
        <f>'Cross Sections and Materials'!E5</f>
        <v>23950</v>
      </c>
      <c r="E126" s="16">
        <f>'Cross Sections and Materials'!F5</f>
        <v>1709</v>
      </c>
      <c r="F126" s="16">
        <f>'Cross Sections and Materials'!H5</f>
        <v>17</v>
      </c>
      <c r="G126" s="16">
        <f>'Cross Sections and Materials'!I5</f>
        <v>0.8</v>
      </c>
      <c r="H126" s="16">
        <f>'Cross Sections and Materials'!J5</f>
        <v>1.27</v>
      </c>
      <c r="I126" s="16">
        <f>'Cross Sections and Materials'!K5</f>
        <v>72.7</v>
      </c>
      <c r="J126" s="16">
        <f>'Cross Sections and Materials'!M5</f>
        <v>33.46</v>
      </c>
      <c r="K126" s="16" t="str">
        <f>IF(MIN(0.25*E126, 0.5*J126*G126*$D$75/$D$76) &lt; ABS(L123), "JA", "NEIN")</f>
        <v>NEIN</v>
      </c>
      <c r="L126" s="9">
        <f>IF(K126="JA", ABS(L123)/E126, 0)</f>
        <v>0</v>
      </c>
      <c r="M126" s="9">
        <f>IF(K126="JA", MIN((I126-2*F126*H126)/I126, 0.5), 0)</f>
        <v>0</v>
      </c>
      <c r="N126" s="13">
        <f>MIN(D126, D126*(1-L126)/(1-0.5*M126))</f>
        <v>23950</v>
      </c>
      <c r="O126" s="9">
        <f>ABS(L123)/E126</f>
        <v>0.16180807489760091</v>
      </c>
      <c r="P126" s="9">
        <f>K123/N126</f>
        <v>0.32225469728601253</v>
      </c>
      <c r="Q126" s="2" t="str">
        <f>IF(P126&lt;1,"OK!","NG!")</f>
        <v>OK!</v>
      </c>
      <c r="R126" s="22"/>
    </row>
    <row r="127" spans="3:18" x14ac:dyDescent="0.25">
      <c r="C127" s="73"/>
      <c r="D127" s="16"/>
      <c r="E127" s="16"/>
      <c r="F127" s="16"/>
      <c r="G127" s="16"/>
      <c r="H127" s="16"/>
      <c r="I127" s="16"/>
      <c r="J127" s="16"/>
      <c r="K127" s="16"/>
      <c r="L127" s="9"/>
      <c r="M127" s="9"/>
      <c r="N127" s="13"/>
      <c r="O127" s="9"/>
      <c r="P127" s="9"/>
      <c r="Q127" s="2"/>
      <c r="R127" s="22"/>
    </row>
    <row r="128" spans="3:18" x14ac:dyDescent="0.25">
      <c r="C128" s="24" t="s">
        <v>137</v>
      </c>
      <c r="D128" s="104">
        <v>20</v>
      </c>
      <c r="E128" t="s">
        <v>260</v>
      </c>
      <c r="R128" s="22"/>
    </row>
    <row r="129" spans="3:18" x14ac:dyDescent="0.25">
      <c r="C129" s="149" t="s">
        <v>250</v>
      </c>
      <c r="D129" s="125" t="s">
        <v>251</v>
      </c>
      <c r="E129" s="125" t="s">
        <v>252</v>
      </c>
      <c r="F129" s="125"/>
      <c r="G129" s="125" t="s">
        <v>255</v>
      </c>
      <c r="H129" s="125" t="s">
        <v>98</v>
      </c>
      <c r="I129" s="125" t="s">
        <v>253</v>
      </c>
      <c r="J129" s="125"/>
      <c r="K129" s="125" t="s">
        <v>256</v>
      </c>
      <c r="L129" s="125" t="s">
        <v>100</v>
      </c>
      <c r="M129" s="125" t="s">
        <v>254</v>
      </c>
      <c r="R129" s="22"/>
    </row>
    <row r="130" spans="3:18" x14ac:dyDescent="0.25">
      <c r="C130" s="201">
        <v>7718</v>
      </c>
      <c r="D130" s="189">
        <v>-18.329999999999998</v>
      </c>
      <c r="E130" s="104">
        <v>0</v>
      </c>
      <c r="G130" s="104">
        <v>0</v>
      </c>
      <c r="H130" s="189">
        <v>258.2</v>
      </c>
      <c r="I130" s="104">
        <v>0</v>
      </c>
      <c r="K130" s="5">
        <f>C130+G130</f>
        <v>7718</v>
      </c>
      <c r="L130" s="5">
        <f>D130+H130</f>
        <v>239.87</v>
      </c>
      <c r="M130" s="5">
        <f>E130+I130</f>
        <v>0</v>
      </c>
      <c r="R130" s="22"/>
    </row>
    <row r="131" spans="3:18" x14ac:dyDescent="0.25">
      <c r="C131" s="50"/>
      <c r="D131" s="4"/>
      <c r="E131" s="4"/>
      <c r="G131" s="4"/>
      <c r="H131" s="4"/>
      <c r="I131" s="4"/>
      <c r="K131" s="5"/>
      <c r="L131" s="5"/>
      <c r="M131" s="5"/>
      <c r="R131" s="22"/>
    </row>
    <row r="132" spans="3:18" ht="18" x14ac:dyDescent="0.35">
      <c r="C132" s="149" t="s">
        <v>63</v>
      </c>
      <c r="D132" s="125" t="s">
        <v>263</v>
      </c>
      <c r="E132" s="125" t="s">
        <v>93</v>
      </c>
      <c r="F132" s="125" t="s">
        <v>104</v>
      </c>
      <c r="G132" s="125" t="s">
        <v>95</v>
      </c>
      <c r="H132" s="125" t="s">
        <v>105</v>
      </c>
      <c r="I132" s="125" t="s">
        <v>96</v>
      </c>
      <c r="J132" s="125" t="s">
        <v>94</v>
      </c>
      <c r="K132" s="125" t="s">
        <v>101</v>
      </c>
      <c r="L132" s="125" t="s">
        <v>102</v>
      </c>
      <c r="M132" s="125" t="s">
        <v>103</v>
      </c>
      <c r="N132" s="125" t="s">
        <v>110</v>
      </c>
      <c r="O132" s="125" t="s">
        <v>106</v>
      </c>
      <c r="P132" s="125" t="s">
        <v>107</v>
      </c>
      <c r="R132" s="22"/>
    </row>
    <row r="133" spans="3:18" ht="15.75" thickBot="1" x14ac:dyDescent="0.3">
      <c r="C133" s="155" t="str">
        <f>C126</f>
        <v>IPE 360</v>
      </c>
      <c r="D133" s="152">
        <f>IF('Cross Sections and Materials'!$C$5 = 3, 'Cross Sections and Materials'!$D$5, 'Cross Sections and Materials'!$E$5)</f>
        <v>23950</v>
      </c>
      <c r="E133" s="152">
        <f t="shared" ref="E133:J133" si="0">E126</f>
        <v>1709</v>
      </c>
      <c r="F133" s="152">
        <f t="shared" si="0"/>
        <v>17</v>
      </c>
      <c r="G133" s="152">
        <f t="shared" si="0"/>
        <v>0.8</v>
      </c>
      <c r="H133" s="152">
        <f t="shared" si="0"/>
        <v>1.27</v>
      </c>
      <c r="I133" s="152">
        <f t="shared" si="0"/>
        <v>72.7</v>
      </c>
      <c r="J133" s="152">
        <f t="shared" si="0"/>
        <v>33.46</v>
      </c>
      <c r="K133" s="52" t="str">
        <f>IF(MIN(0.25*E133, 0.5*J133*G133*$D$75/$D$76) &lt; ABS(L130), "JA", "NEIN")</f>
        <v>NEIN</v>
      </c>
      <c r="L133" s="26">
        <f>IF(K133="JA", ABS(L130)/E133, 0)</f>
        <v>0</v>
      </c>
      <c r="M133" s="26">
        <f>IF(K133="JA", MIN((I133-2*F133*H133)/I133, 0.5), 0)</f>
        <v>0</v>
      </c>
      <c r="N133" s="53">
        <f>MIN(D133, D133*(1-L133)/(1-0.5*M133))</f>
        <v>23950</v>
      </c>
      <c r="O133" s="26">
        <f>ABS(L130)/E133</f>
        <v>0.14035693387946169</v>
      </c>
      <c r="P133" s="26">
        <f>K130/N133</f>
        <v>0.32225469728601253</v>
      </c>
      <c r="Q133" s="62" t="str">
        <f>IF(P133&lt;1,"OK!","NG!")</f>
        <v>OK!</v>
      </c>
      <c r="R133" s="28"/>
    </row>
    <row r="134" spans="3:18" x14ac:dyDescent="0.25">
      <c r="C134" s="18"/>
      <c r="D134" s="18"/>
      <c r="E134" s="18"/>
      <c r="F134" s="18"/>
      <c r="G134" s="18"/>
      <c r="H134" s="18"/>
      <c r="I134" s="18"/>
      <c r="J134" s="18"/>
      <c r="K134" s="16"/>
      <c r="L134" s="9"/>
      <c r="M134" s="9"/>
      <c r="N134" s="13"/>
      <c r="O134" s="9"/>
      <c r="P134" s="9"/>
      <c r="Q134" s="2"/>
    </row>
    <row r="135" spans="3:18" ht="15.75" thickBot="1" x14ac:dyDescent="0.3">
      <c r="C135" s="18"/>
      <c r="D135" s="16"/>
      <c r="E135" s="16"/>
      <c r="F135" s="16"/>
      <c r="G135" s="16"/>
      <c r="H135" s="16"/>
      <c r="I135" s="16"/>
      <c r="J135" s="16"/>
      <c r="K135" s="16"/>
      <c r="L135" s="9"/>
      <c r="M135" s="9"/>
      <c r="N135" s="13"/>
      <c r="O135" s="9"/>
      <c r="P135" s="9"/>
      <c r="Q135" s="2"/>
    </row>
    <row r="136" spans="3:18" ht="15.75" x14ac:dyDescent="0.25">
      <c r="C136" s="159" t="s">
        <v>318</v>
      </c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27"/>
    </row>
    <row r="137" spans="3:18" x14ac:dyDescent="0.25">
      <c r="C137" s="24" t="s">
        <v>137</v>
      </c>
      <c r="D137" s="104">
        <v>2</v>
      </c>
      <c r="E137" t="s">
        <v>258</v>
      </c>
      <c r="R137" s="22"/>
    </row>
    <row r="138" spans="3:18" x14ac:dyDescent="0.25">
      <c r="C138" s="149" t="s">
        <v>63</v>
      </c>
      <c r="D138" s="125" t="s">
        <v>64</v>
      </c>
      <c r="E138" s="125" t="s">
        <v>69</v>
      </c>
      <c r="F138" s="125" t="s">
        <v>73</v>
      </c>
      <c r="G138" s="125" t="s">
        <v>68</v>
      </c>
      <c r="H138" s="125" t="s">
        <v>88</v>
      </c>
      <c r="I138" s="125" t="s">
        <v>87</v>
      </c>
      <c r="J138" s="125" t="s">
        <v>91</v>
      </c>
      <c r="K138" s="125" t="s">
        <v>70</v>
      </c>
      <c r="L138" s="125" t="s">
        <v>72</v>
      </c>
      <c r="M138" s="125" t="s">
        <v>74</v>
      </c>
      <c r="N138" s="125" t="s">
        <v>25</v>
      </c>
      <c r="O138" s="125" t="s">
        <v>75</v>
      </c>
      <c r="P138" s="125" t="s">
        <v>67</v>
      </c>
      <c r="R138" s="22"/>
    </row>
    <row r="139" spans="3:18" ht="15.75" thickBot="1" x14ac:dyDescent="0.3">
      <c r="C139" s="157" t="str">
        <f>'Cross Sections and Materials'!B9</f>
        <v>HEB 650</v>
      </c>
      <c r="D139" s="36">
        <f>'Cross Sections and Materials'!G9</f>
        <v>286.3</v>
      </c>
      <c r="E139" s="36">
        <f>'Cross Sections and Materials'!J9</f>
        <v>6.87</v>
      </c>
      <c r="F139" s="36">
        <f>'Cross Sections and Materials'!L9</f>
        <v>0.34</v>
      </c>
      <c r="G139" s="36">
        <f>E8</f>
        <v>350</v>
      </c>
      <c r="H139" s="198">
        <v>969.3</v>
      </c>
      <c r="I139" s="198">
        <v>620.79999999999995</v>
      </c>
      <c r="J139" s="36">
        <f>H139+I139</f>
        <v>1590.1</v>
      </c>
      <c r="K139" s="36">
        <f>G139</f>
        <v>350</v>
      </c>
      <c r="L139" s="26">
        <f>K139/E139/$D$78</f>
        <v>0.54255742970393406</v>
      </c>
      <c r="M139" s="80">
        <f>0.5*(1+F139*(L139-0.2)+L139^2)</f>
        <v>0.70541904531313848</v>
      </c>
      <c r="N139" s="26">
        <f>MIN(1/(M139+SQRT(M139^2-L139^2)), 1)</f>
        <v>0.86486576473449372</v>
      </c>
      <c r="O139" s="80">
        <f>N139*D139*$D$75/$D$77</f>
        <v>5289.8728258381007</v>
      </c>
      <c r="P139" s="26">
        <f>J139/O139</f>
        <v>0.30059323774916508</v>
      </c>
      <c r="Q139" s="62" t="str">
        <f>IF(P139&lt;1,"OK!","NG!")</f>
        <v>OK!</v>
      </c>
      <c r="R139" s="28"/>
    </row>
    <row r="140" spans="3:18" x14ac:dyDescent="0.25">
      <c r="C140" s="5"/>
      <c r="D140" s="5"/>
      <c r="E140" s="5"/>
      <c r="F140" s="5"/>
      <c r="G140" s="5"/>
      <c r="H140" s="4"/>
      <c r="I140" s="4"/>
      <c r="J140" s="5"/>
      <c r="K140" s="5"/>
      <c r="L140" s="9"/>
      <c r="M140" s="6"/>
      <c r="N140" s="9"/>
      <c r="O140" s="6"/>
      <c r="P140" s="9"/>
      <c r="Q140" s="2"/>
    </row>
    <row r="141" spans="3:18" x14ac:dyDescent="0.25">
      <c r="C141" s="5"/>
      <c r="D141" s="5"/>
      <c r="E141" s="5"/>
      <c r="F141" s="5"/>
      <c r="G141" s="5"/>
      <c r="H141" s="4"/>
      <c r="I141" s="4"/>
      <c r="J141" s="5"/>
      <c r="K141" s="5"/>
      <c r="L141" s="9"/>
      <c r="M141" s="6"/>
      <c r="N141" s="9"/>
      <c r="O141" s="6"/>
      <c r="P141" s="9"/>
      <c r="Q141" s="2"/>
    </row>
    <row r="142" spans="3:18" x14ac:dyDescent="0.25">
      <c r="C142" s="5"/>
      <c r="D142" s="5"/>
      <c r="E142" s="5"/>
      <c r="F142" s="5"/>
      <c r="G142" s="5"/>
      <c r="H142" s="5"/>
      <c r="I142" s="8"/>
      <c r="J142" s="13"/>
      <c r="K142" s="5"/>
      <c r="L142" s="9"/>
      <c r="M142" s="6"/>
      <c r="N142" s="9"/>
      <c r="O142" s="6"/>
      <c r="P142" s="9"/>
      <c r="Q142" s="2"/>
    </row>
    <row r="143" spans="3:18" x14ac:dyDescent="0.25">
      <c r="C143" s="10"/>
    </row>
  </sheetData>
  <conditionalFormatting sqref="F21:F29 Q126:Q127">
    <cfRule type="cellIs" dxfId="26" priority="40" operator="equal">
      <formula>"NG!"</formula>
    </cfRule>
    <cfRule type="cellIs" dxfId="25" priority="41" operator="equal">
      <formula>"OK..."</formula>
    </cfRule>
    <cfRule type="cellIs" dxfId="24" priority="42" operator="equal">
      <formula>"OK!"</formula>
    </cfRule>
  </conditionalFormatting>
  <conditionalFormatting sqref="I35:I42">
    <cfRule type="cellIs" dxfId="23" priority="34" operator="equal">
      <formula>"NG!"</formula>
    </cfRule>
    <cfRule type="cellIs" dxfId="22" priority="35" operator="equal">
      <formula>"OK..."</formula>
    </cfRule>
    <cfRule type="cellIs" dxfId="21" priority="36" operator="equal">
      <formula>"OK!"</formula>
    </cfRule>
  </conditionalFormatting>
  <conditionalFormatting sqref="J82:J90">
    <cfRule type="cellIs" dxfId="20" priority="72" operator="equal">
      <formula>"NG!"</formula>
    </cfRule>
    <cfRule type="cellIs" dxfId="19" priority="73" operator="equal">
      <formula>"OK..."</formula>
    </cfRule>
    <cfRule type="cellIs" dxfId="18" priority="74" operator="equal">
      <formula>"OK!"</formula>
    </cfRule>
  </conditionalFormatting>
  <conditionalFormatting sqref="K60:K68">
    <cfRule type="cellIs" dxfId="17" priority="90" operator="equal">
      <formula>"NG!"</formula>
    </cfRule>
    <cfRule type="cellIs" dxfId="16" priority="91" operator="equal">
      <formula>"OK..."</formula>
    </cfRule>
    <cfRule type="cellIs" dxfId="15" priority="92" operator="equal">
      <formula>"OK!"</formula>
    </cfRule>
  </conditionalFormatting>
  <conditionalFormatting sqref="K108:K116 L117 Q133:Q135">
    <cfRule type="cellIs" dxfId="14" priority="4" operator="equal">
      <formula>"NG!"</formula>
    </cfRule>
    <cfRule type="cellIs" dxfId="13" priority="5" operator="equal">
      <formula>"OK..."</formula>
    </cfRule>
    <cfRule type="cellIs" dxfId="12" priority="6" operator="equal">
      <formula>"OK!"</formula>
    </cfRule>
  </conditionalFormatting>
  <conditionalFormatting sqref="L9:L16">
    <cfRule type="cellIs" dxfId="11" priority="37" operator="equal">
      <formula>"NG!"</formula>
    </cfRule>
    <cfRule type="cellIs" dxfId="10" priority="38" operator="equal">
      <formula>"OK..."</formula>
    </cfRule>
    <cfRule type="cellIs" dxfId="9" priority="39" operator="equal">
      <formula>"OK!"</formula>
    </cfRule>
  </conditionalFormatting>
  <conditionalFormatting sqref="L47:L55">
    <cfRule type="cellIs" dxfId="8" priority="93" operator="equal">
      <formula>"NG!"</formula>
    </cfRule>
    <cfRule type="cellIs" dxfId="7" priority="94" operator="equal">
      <formula>"OK..."</formula>
    </cfRule>
    <cfRule type="cellIs" dxfId="6" priority="95" operator="equal">
      <formula>"OK!"</formula>
    </cfRule>
  </conditionalFormatting>
  <conditionalFormatting sqref="Q139:Q142">
    <cfRule type="cellIs" dxfId="5" priority="1" operator="equal">
      <formula>"NG!"</formula>
    </cfRule>
    <cfRule type="cellIs" dxfId="4" priority="2" operator="equal">
      <formula>"OK..."</formula>
    </cfRule>
    <cfRule type="cellIs" dxfId="3" priority="3" operator="equal">
      <formula>"OK!"</formula>
    </cfRule>
  </conditionalFormatting>
  <conditionalFormatting sqref="T95:T103">
    <cfRule type="cellIs" dxfId="2" priority="57" operator="equal">
      <formula>"NG!"</formula>
    </cfRule>
    <cfRule type="cellIs" dxfId="1" priority="58" operator="equal">
      <formula>"OK..."</formula>
    </cfRule>
    <cfRule type="cellIs" dxfId="0" priority="59" operator="equal">
      <formula>"OK!"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27ad31-1248-408e-b004-32fcbe738e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142BBD614E004F9123C843775B9053" ma:contentTypeVersion="18" ma:contentTypeDescription="Ein neues Dokument erstellen." ma:contentTypeScope="" ma:versionID="9eba075c07c7b8e10710dbd5a9b10a17">
  <xsd:schema xmlns:xsd="http://www.w3.org/2001/XMLSchema" xmlns:xs="http://www.w3.org/2001/XMLSchema" xmlns:p="http://schemas.microsoft.com/office/2006/metadata/properties" xmlns:ns3="b8438a74-1baf-41ed-a764-db03f5cc8e77" xmlns:ns4="7f27ad31-1248-408e-b004-32fcbe738eec" targetNamespace="http://schemas.microsoft.com/office/2006/metadata/properties" ma:root="true" ma:fieldsID="834b5a3e6853755301f6034dd0745b55" ns3:_="" ns4:_="">
    <xsd:import namespace="b8438a74-1baf-41ed-a764-db03f5cc8e77"/>
    <xsd:import namespace="7f27ad31-1248-408e-b004-32fcbe738e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8a74-1baf-41ed-a764-db03f5cc8e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7ad31-1248-408e-b004-32fcbe73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674E53-2B70-4538-8CB8-7E8A90CFE940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b8438a74-1baf-41ed-a764-db03f5cc8e77"/>
  </ds:schemaRefs>
</ds:datastoreItem>
</file>

<file path=customXml/itemProps2.xml><?xml version="1.0" encoding="utf-8"?>
<ds:datastoreItem xmlns:ds="http://schemas.openxmlformats.org/officeDocument/2006/customXml" ds:itemID="{443AD24C-A69D-4461-98BF-DA2CDE7B3C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2E457-EC4F-4351-9156-7571484AC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8a74-1baf-41ed-a764-db03f5cc8e77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5</vt:i4>
      </vt:variant>
    </vt:vector>
  </HeadingPairs>
  <TitlesOfParts>
    <vt:vector size="9" baseType="lpstr">
      <vt:lpstr>Loads</vt:lpstr>
      <vt:lpstr>Cross Sections and Materials</vt:lpstr>
      <vt:lpstr>Nonseismic_Design</vt:lpstr>
      <vt:lpstr>CBF_Seismic_Design_Verification</vt:lpstr>
      <vt:lpstr>T</vt:lpstr>
      <vt:lpstr>TA</vt:lpstr>
      <vt:lpstr>TB</vt:lpstr>
      <vt:lpstr>TC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2025-03-17T13:50:50Z</dcterms:created>
  <dcterms:modified xsi:type="dcterms:W3CDTF">2025-04-10T11:03:06Z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2025-03-17T14:51:28Z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9b65497b-7d6e-4ee8-8401-d727e2401c15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  <property fmtid="{D5CDD505-2E9C-101B-9397-08002B2CF9AE}" pid="10" name="ContentTypeId">
    <vt:lpwstr>0x01010026142BBD614E004F9123C843775B9053</vt:lpwstr>
  </property>
</Properties>
</file>