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9s_dc0_00/"/>
    </mc:Choice>
  </mc:AlternateContent>
  <xr:revisionPtr revIDLastSave="23" documentId="8_{225118DA-BB6F-4DED-92DC-280C31FE1F78}" xr6:coauthVersionLast="47" xr6:coauthVersionMax="47" xr10:uidLastSave="{069B6AC6-E47C-4112-AF96-0D7028A86842}"/>
  <bookViews>
    <workbookView xWindow="-120" yWindow="-120" windowWidth="29040" windowHeight="15720" xr2:uid="{7D9295CA-11CB-4DE1-B0A9-DFA242247CEC}"/>
  </bookViews>
  <sheets>
    <sheet name="Loads" sheetId="1" r:id="rId1"/>
    <sheet name="Cross Sections and Materials" sheetId="4" r:id="rId2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1" l="1"/>
  <c r="N9" i="4"/>
  <c r="C59" i="1"/>
  <c r="M5" i="4"/>
  <c r="C8" i="1"/>
  <c r="T73" i="1"/>
  <c r="M46" i="1"/>
  <c r="R39" i="1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N119" i="1" s="1"/>
  <c r="C41" i="1"/>
  <c r="C44" i="1" s="1"/>
  <c r="C38" i="1"/>
  <c r="C42" i="1" s="1"/>
  <c r="C45" i="1" s="1"/>
  <c r="O118" i="1" l="1"/>
  <c r="O119" i="1"/>
  <c r="C51" i="1"/>
  <c r="E28" i="1"/>
  <c r="M115" i="1"/>
  <c r="M114" i="1"/>
  <c r="E27" i="1"/>
  <c r="E31" i="1"/>
  <c r="M117" i="1"/>
  <c r="E30" i="1"/>
  <c r="E32" i="1"/>
  <c r="E29" i="1"/>
  <c r="E24" i="1"/>
  <c r="K24" i="1" s="1"/>
  <c r="P24" i="1" s="1"/>
  <c r="E25" i="1"/>
  <c r="I25" i="1" s="1"/>
  <c r="N25" i="1" s="1"/>
  <c r="E26" i="1"/>
  <c r="J26" i="1" s="1"/>
  <c r="M113" i="1"/>
  <c r="M112" i="1"/>
  <c r="N112" i="1" s="1"/>
  <c r="R64" i="1"/>
  <c r="O117" i="1" l="1"/>
  <c r="N117" i="1"/>
  <c r="N118" i="1"/>
  <c r="N114" i="1"/>
  <c r="N115" i="1"/>
  <c r="N113" i="1"/>
  <c r="O112" i="1"/>
  <c r="C50" i="1"/>
  <c r="C61" i="1" s="1"/>
  <c r="C60" i="1"/>
  <c r="N116" i="1"/>
  <c r="J25" i="1"/>
  <c r="O25" i="1" s="1"/>
  <c r="O116" i="1"/>
  <c r="O111" i="1"/>
  <c r="O113" i="1"/>
  <c r="O114" i="1"/>
  <c r="O115" i="1"/>
  <c r="I24" i="1"/>
  <c r="N24" i="1" s="1"/>
  <c r="I26" i="1"/>
  <c r="N26" i="1" s="1"/>
  <c r="J24" i="1"/>
  <c r="O24" i="1" s="1"/>
  <c r="K26" i="1"/>
  <c r="P26" i="1" s="1"/>
  <c r="K25" i="1"/>
  <c r="P25" i="1" s="1"/>
  <c r="I28" i="1"/>
  <c r="J28" i="1"/>
  <c r="K28" i="1"/>
  <c r="P28" i="1" s="1"/>
  <c r="I32" i="1"/>
  <c r="J32" i="1"/>
  <c r="K32" i="1"/>
  <c r="P32" i="1" s="1"/>
  <c r="I29" i="1"/>
  <c r="J29" i="1"/>
  <c r="K29" i="1"/>
  <c r="P29" i="1" s="1"/>
  <c r="I30" i="1"/>
  <c r="J30" i="1"/>
  <c r="K30" i="1"/>
  <c r="P30" i="1" s="1"/>
  <c r="J31" i="1"/>
  <c r="I31" i="1"/>
  <c r="K31" i="1"/>
  <c r="P31" i="1" s="1"/>
  <c r="J27" i="1"/>
  <c r="K27" i="1"/>
  <c r="P27" i="1" s="1"/>
  <c r="I27" i="1"/>
  <c r="O26" i="1"/>
  <c r="R68" i="1"/>
  <c r="U64" i="1"/>
  <c r="N61" i="1"/>
  <c r="R41" i="1"/>
  <c r="M61" i="1"/>
  <c r="R40" i="1"/>
  <c r="R38" i="1"/>
  <c r="R37" i="1"/>
  <c r="D19" i="1"/>
  <c r="L24" i="1" s="1"/>
  <c r="F40" i="1" s="1"/>
  <c r="L31" i="1" l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O31" i="1"/>
  <c r="M93" i="1"/>
  <c r="O28" i="1"/>
  <c r="M90" i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M94" i="1"/>
  <c r="O32" i="1"/>
  <c r="M80" i="1"/>
  <c r="N31" i="1"/>
  <c r="M81" i="1"/>
  <c r="N32" i="1"/>
  <c r="M75" i="1"/>
  <c r="M88" i="1"/>
  <c r="M86" i="1"/>
  <c r="M87" i="1"/>
  <c r="L26" i="1"/>
  <c r="L25" i="1"/>
  <c r="R63" i="1"/>
  <c r="S64" i="1"/>
  <c r="T64" i="1" s="1"/>
  <c r="V64" i="1" s="1"/>
  <c r="S68" i="1"/>
  <c r="T68" i="1" s="1"/>
  <c r="U68" i="1"/>
  <c r="R43" i="1"/>
  <c r="R54" i="1" s="1"/>
  <c r="R55" i="1"/>
  <c r="R56" i="1" s="1"/>
  <c r="R57" i="1" s="1"/>
  <c r="R47" i="1"/>
  <c r="R44" i="1"/>
  <c r="R42" i="1"/>
  <c r="R46" i="1" s="1"/>
  <c r="Q30" i="1" l="1"/>
  <c r="F46" i="1"/>
  <c r="F45" i="1"/>
  <c r="Q29" i="1"/>
  <c r="Q28" i="1"/>
  <c r="F44" i="1"/>
  <c r="F43" i="1"/>
  <c r="Q27" i="1"/>
  <c r="F48" i="1"/>
  <c r="Q32" i="1"/>
  <c r="Q31" i="1"/>
  <c r="F47" i="1"/>
  <c r="Q25" i="1"/>
  <c r="F41" i="1"/>
  <c r="Q26" i="1"/>
  <c r="F42" i="1"/>
  <c r="Q24" i="1"/>
  <c r="U63" i="1"/>
  <c r="S63" i="1"/>
  <c r="T63" i="1" s="1"/>
  <c r="V68" i="1"/>
  <c r="R53" i="1"/>
  <c r="R45" i="1"/>
  <c r="R48" i="1"/>
  <c r="R51" i="1" s="1"/>
  <c r="R49" i="1"/>
  <c r="R50" i="1" s="1"/>
  <c r="R59" i="1"/>
  <c r="F49" i="1" l="1"/>
  <c r="W64" i="1"/>
  <c r="W68" i="1"/>
  <c r="V63" i="1"/>
  <c r="W63" i="1" s="1"/>
  <c r="P115" i="1" l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C10" i="1" l="1"/>
  <c r="N102" i="1" l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G40" i="1"/>
  <c r="G42" i="1"/>
  <c r="G41" i="1"/>
  <c r="C52" i="1"/>
  <c r="U93" i="1" l="1"/>
  <c r="V93" i="1"/>
  <c r="P93" i="1"/>
  <c r="F58" i="1"/>
  <c r="I45" i="1"/>
  <c r="V91" i="1"/>
  <c r="P91" i="1"/>
  <c r="U91" i="1"/>
  <c r="F61" i="1"/>
  <c r="I48" i="1"/>
  <c r="F60" i="1"/>
  <c r="I47" i="1"/>
  <c r="P77" i="1"/>
  <c r="U77" i="1"/>
  <c r="V77" i="1"/>
  <c r="V103" i="1"/>
  <c r="P103" i="1"/>
  <c r="U103" i="1"/>
  <c r="F57" i="1"/>
  <c r="I44" i="1"/>
  <c r="P89" i="1"/>
  <c r="V89" i="1"/>
  <c r="U89" i="1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I42" i="1"/>
  <c r="U74" i="1"/>
  <c r="V74" i="1"/>
  <c r="P74" i="1"/>
  <c r="P101" i="1"/>
  <c r="V101" i="1"/>
  <c r="U101" i="1"/>
  <c r="U73" i="1"/>
  <c r="P73" i="1"/>
  <c r="V99" i="1"/>
  <c r="U99" i="1"/>
  <c r="P99" i="1"/>
  <c r="F53" i="1"/>
  <c r="G49" i="1"/>
  <c r="I40" i="1"/>
  <c r="C69" i="1"/>
  <c r="C64" i="1"/>
  <c r="F55" i="1"/>
  <c r="H61" i="1" l="1"/>
  <c r="I61" i="1"/>
  <c r="H56" i="1"/>
  <c r="I56" i="1"/>
  <c r="I59" i="1"/>
  <c r="H59" i="1"/>
  <c r="H58" i="1"/>
  <c r="I58" i="1"/>
  <c r="H57" i="1"/>
  <c r="I57" i="1"/>
  <c r="M66" i="1"/>
  <c r="V95" i="1"/>
  <c r="U95" i="1"/>
  <c r="N66" i="1"/>
  <c r="I60" i="1"/>
  <c r="H60" i="1"/>
  <c r="U108" i="1"/>
  <c r="V108" i="1"/>
  <c r="V82" i="1"/>
  <c r="U82" i="1"/>
  <c r="I49" i="1"/>
  <c r="O66" i="1"/>
  <c r="I53" i="1"/>
  <c r="H53" i="1"/>
  <c r="H55" i="1"/>
  <c r="I55" i="1"/>
  <c r="M67" i="1" l="1"/>
  <c r="N67" i="1"/>
  <c r="O67" i="1"/>
  <c r="F54" i="1"/>
  <c r="C65" i="1"/>
  <c r="C66" i="1"/>
  <c r="C70" i="1" s="1"/>
  <c r="J40" i="1" s="1"/>
  <c r="O62" i="1" l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N58" i="1"/>
  <c r="N57" i="1" s="1"/>
  <c r="N62" i="1"/>
  <c r="N63" i="1"/>
  <c r="N65" i="1"/>
  <c r="N64" i="1" s="1"/>
  <c r="H54" i="1"/>
  <c r="H62" i="1" s="1"/>
  <c r="I54" i="1"/>
  <c r="J42" i="1"/>
  <c r="J41" i="1"/>
  <c r="C67" i="1"/>
  <c r="O59" i="1" l="1"/>
  <c r="O56" i="1" s="1"/>
  <c r="N59" i="1"/>
  <c r="N56" i="1" s="1"/>
  <c r="I62" i="1"/>
  <c r="F64" i="1" s="1"/>
  <c r="J49" i="1"/>
  <c r="M59" i="1"/>
  <c r="M56" i="1" s="1"/>
  <c r="M55" i="1" s="1"/>
  <c r="O55" i="1" l="1"/>
  <c r="O54" i="1" s="1"/>
  <c r="O52" i="1" s="1"/>
  <c r="N55" i="1"/>
  <c r="N54" i="1" s="1"/>
  <c r="N52" i="1" s="1"/>
  <c r="M54" i="1"/>
  <c r="M52" i="1" s="1"/>
  <c r="N125" i="1" s="1"/>
  <c r="U128" i="1" l="1"/>
  <c r="U126" i="1"/>
  <c r="U131" i="1"/>
  <c r="U129" i="1"/>
  <c r="V131" i="1"/>
  <c r="V145" i="1" s="1"/>
  <c r="V130" i="1"/>
  <c r="V144" i="1" s="1"/>
  <c r="U133" i="1"/>
  <c r="V128" i="1"/>
  <c r="V142" i="1" s="1"/>
  <c r="U130" i="1"/>
  <c r="U125" i="1"/>
  <c r="V129" i="1"/>
  <c r="V143" i="1" s="1"/>
  <c r="U132" i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33" i="1"/>
  <c r="Q128" i="1"/>
  <c r="Q129" i="1"/>
  <c r="Q131" i="1"/>
  <c r="Q125" i="1"/>
  <c r="Q130" i="1"/>
  <c r="Q126" i="1"/>
  <c r="N128" i="1"/>
  <c r="N142" i="1" s="1"/>
  <c r="N132" i="1"/>
  <c r="N146" i="1" s="1"/>
  <c r="R128" i="1"/>
  <c r="R142" i="1" s="1"/>
  <c r="R132" i="1"/>
  <c r="R146" i="1" s="1"/>
  <c r="R125" i="1"/>
  <c r="N133" i="1"/>
  <c r="N147" i="1" s="1"/>
  <c r="M125" i="1"/>
  <c r="O125" i="1" s="1"/>
  <c r="R133" i="1"/>
  <c r="R147" i="1" s="1"/>
  <c r="M126" i="1"/>
  <c r="M132" i="1"/>
  <c r="R129" i="1"/>
  <c r="R143" i="1" s="1"/>
  <c r="R131" i="1"/>
  <c r="R145" i="1" s="1"/>
  <c r="R130" i="1"/>
  <c r="R144" i="1" s="1"/>
  <c r="M133" i="1"/>
  <c r="N130" i="1"/>
  <c r="N144" i="1" s="1"/>
  <c r="N131" i="1"/>
  <c r="N145" i="1" s="1"/>
  <c r="N129" i="1"/>
  <c r="N143" i="1" s="1"/>
  <c r="M129" i="1"/>
  <c r="M130" i="1"/>
  <c r="O130" i="1" s="1"/>
  <c r="M131" i="1"/>
  <c r="M128" i="1"/>
  <c r="O128" i="1" s="1"/>
  <c r="N126" i="1"/>
  <c r="N140" i="1" s="1"/>
  <c r="N127" i="1"/>
  <c r="N141" i="1" s="1"/>
  <c r="R127" i="1"/>
  <c r="R141" i="1" s="1"/>
  <c r="R126" i="1"/>
  <c r="R140" i="1" s="1"/>
  <c r="M127" i="1"/>
  <c r="O129" i="1" l="1"/>
  <c r="O131" i="1"/>
  <c r="Q146" i="1"/>
  <c r="S146" i="1" s="1"/>
  <c r="S132" i="1"/>
  <c r="O133" i="1"/>
  <c r="U146" i="1"/>
  <c r="W146" i="1" s="1"/>
  <c r="W132" i="1"/>
  <c r="U145" i="1"/>
  <c r="W145" i="1" s="1"/>
  <c r="W131" i="1"/>
  <c r="Q147" i="1"/>
  <c r="S147" i="1" s="1"/>
  <c r="S133" i="1"/>
  <c r="U147" i="1"/>
  <c r="W147" i="1" s="1"/>
  <c r="W133" i="1"/>
  <c r="Q145" i="1"/>
  <c r="S145" i="1" s="1"/>
  <c r="S131" i="1"/>
  <c r="O132" i="1"/>
  <c r="O126" i="1"/>
  <c r="O127" i="1"/>
  <c r="W125" i="1"/>
  <c r="U144" i="1"/>
  <c r="W144" i="1" s="1"/>
  <c r="W130" i="1"/>
  <c r="Q141" i="1"/>
  <c r="S141" i="1" s="1"/>
  <c r="S127" i="1"/>
  <c r="U143" i="1"/>
  <c r="W143" i="1" s="1"/>
  <c r="W129" i="1"/>
  <c r="Q142" i="1"/>
  <c r="S142" i="1" s="1"/>
  <c r="S128" i="1"/>
  <c r="Q140" i="1"/>
  <c r="S140" i="1" s="1"/>
  <c r="S126" i="1"/>
  <c r="U140" i="1"/>
  <c r="W140" i="1" s="1"/>
  <c r="W126" i="1"/>
  <c r="Q143" i="1"/>
  <c r="S143" i="1" s="1"/>
  <c r="S129" i="1"/>
  <c r="Q144" i="1"/>
  <c r="S144" i="1" s="1"/>
  <c r="S130" i="1"/>
  <c r="S125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O147" i="1" s="1"/>
  <c r="M140" i="1"/>
  <c r="O140" i="1" s="1"/>
  <c r="M141" i="1"/>
  <c r="O141" i="1" s="1"/>
  <c r="M146" i="1"/>
  <c r="O146" i="1" s="1"/>
  <c r="M145" i="1"/>
  <c r="O145" i="1" s="1"/>
  <c r="M142" i="1"/>
  <c r="O142" i="1" s="1"/>
  <c r="M144" i="1"/>
  <c r="O144" i="1" s="1"/>
  <c r="M143" i="1"/>
  <c r="O143" i="1" s="1"/>
  <c r="N139" i="1"/>
  <c r="N148" i="1" s="1"/>
  <c r="N134" i="1"/>
  <c r="M139" i="1"/>
  <c r="M134" i="1"/>
  <c r="R139" i="1"/>
  <c r="R148" i="1" s="1"/>
  <c r="R134" i="1"/>
  <c r="O134" i="1" l="1"/>
  <c r="U148" i="1"/>
  <c r="W148" i="1" s="1"/>
  <c r="W139" i="1"/>
  <c r="Q148" i="1"/>
  <c r="S139" i="1"/>
  <c r="O139" i="1"/>
  <c r="W134" i="1"/>
  <c r="S134" i="1"/>
  <c r="S148" i="1"/>
  <c r="M148" i="1"/>
  <c r="O148" i="1" s="1"/>
</calcChain>
</file>

<file path=xl/sharedStrings.xml><?xml version="1.0" encoding="utf-8"?>
<sst xmlns="http://schemas.openxmlformats.org/spreadsheetml/2006/main" count="319" uniqueCount="218">
  <si>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</si>
  <si>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</si>
  <si>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</si>
  <si>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</si>
  <si>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</si>
  <si>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</si>
  <si>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</si>
  <si>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</si>
  <si>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</si>
  <si>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</si>
  <si>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</si>
  <si>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</si>
  <si>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</si>
  <si>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</si>
  <si>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</si>
  <si>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</si>
  <si>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</si>
  <si>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</si>
  <si>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</si>
  <si>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</si>
  <si>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</si>
  <si>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</si>
  <si>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</si>
  <si>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</si>
  <si>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</si>
  <si>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</si>
  <si>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</si>
  <si>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</si>
  <si>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</si>
  <si>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</si>
  <si>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</si>
  <si>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</si>
  <si>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</si>
  <si>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</si>
  <si>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</si>
  <si>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</si>
  <si>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</si>
  <si>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</si>
  <si>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</si>
  <si>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</si>
  <si>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</si>
  <si>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</si>
  <si>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</si>
  <si>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</si>
  <si>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</si>
  <si>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</si>
  <si>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</si>
  <si>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</si>
  <si>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</si>
  <si>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q_disp</t>
  </si>
  <si>
    <t>kN/cm²</t>
  </si>
  <si>
    <t>Section</t>
  </si>
  <si>
    <t>A [cm²]</t>
  </si>
  <si>
    <t>Npl,Rd [kN]</t>
  </si>
  <si>
    <t>i [cm]</t>
  </si>
  <si>
    <t>α</t>
  </si>
  <si>
    <t>Φ</t>
  </si>
  <si>
    <t>Beam Trib width</t>
  </si>
  <si>
    <t>E</t>
  </si>
  <si>
    <t>b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</si>
  <si>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</si>
  <si>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</si>
  <si>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</si>
  <si>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</si>
  <si>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</si>
  <si>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</si>
  <si>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</si>
  <si>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</si>
  <si>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</si>
  <si>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</si>
  <si>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</si>
  <si>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</si>
  <si>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</si>
  <si>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</si>
  <si>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</si>
  <si>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</si>
  <si>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</si>
  <si>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</si>
  <si>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</si>
  <si>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</si>
  <si>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</si>
  <si>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</si>
  <si>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</si>
  <si>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</si>
  <si>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</si>
  <si>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</si>
  <si>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</si>
  <si>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</si>
  <si>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</si>
  <si>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</si>
  <si>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</si>
  <si>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</si>
  <si>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</si>
  <si>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</si>
  <si>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</si>
  <si>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</si>
  <si>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</si>
  <si>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</si>
  <si>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</si>
  <si>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</si>
  <si>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</si>
  <si>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</si>
  <si>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</si>
  <si>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</si>
  <si>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</si>
  <si>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</si>
  <si>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</si>
  <si>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</si>
  <si>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</si>
  <si>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</si>
  <si>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</si>
  <si>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</si>
  <si>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</si>
  <si>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</si>
  <si>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</si>
  <si>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</si>
  <si>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</si>
  <si>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</si>
  <si>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</si>
  <si>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</si>
  <si>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</si>
  <si>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</si>
  <si>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</si>
  <si>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</si>
  <si>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</si>
  <si>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</si>
  <si>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</si>
  <si>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</si>
  <si>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</si>
  <si>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</si>
  <si>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</si>
  <si>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</si>
  <si>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</si>
  <si>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</si>
  <si>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</si>
  <si>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</si>
  <si>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</si>
  <si>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</si>
  <si>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</si>
  <si>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>Beams</t>
  </si>
  <si>
    <t>Columns</t>
  </si>
  <si>
    <t>Braces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</si>
  <si>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</si>
  <si>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</si>
  <si>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</si>
  <si>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</si>
  <si>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</si>
  <si>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</si>
  <si>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</si>
  <si>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</si>
  <si>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</si>
  <si>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</si>
  <si>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</si>
  <si>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</si>
  <si>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</si>
  <si>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</si>
  <si>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</si>
  <si>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</si>
  <si>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</si>
  <si>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</si>
  <si>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</si>
  <si>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</si>
  <si>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</si>
  <si>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</si>
  <si>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</si>
  <si>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Mel,Rd [kNcm]</t>
  </si>
  <si>
    <t>Seciton Class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</si>
  <si>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</si>
  <si>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</si>
  <si>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</si>
  <si>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</si>
  <si>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</si>
  <si>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</si>
  <si>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</si>
  <si>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</si>
  <si>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</si>
  <si>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</si>
  <si>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</si>
  <si>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</si>
  <si>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</si>
  <si>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</si>
  <si>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</si>
  <si>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</si>
  <si>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</si>
  <si>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</si>
  <si>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</si>
  <si>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</si>
  <si>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</si>
  <si>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</si>
  <si>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</si>
  <si>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</si>
  <si>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</si>
  <si>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</si>
  <si>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</si>
  <si>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</si>
  <si>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</si>
  <si>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</si>
  <si>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</si>
  <si>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</si>
  <si>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</si>
  <si>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</si>
  <si>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</si>
  <si>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</si>
  <si>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</si>
  <si>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</si>
  <si>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</si>
  <si>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CHS 177.8x6.3</t>
  </si>
  <si>
    <t>&lt;-- tributary width for gravity loads</t>
  </si>
  <si>
    <t>&lt;-- tributary width for beam UDL for gravity loads</t>
  </si>
  <si>
    <t>i_y [cm]</t>
  </si>
  <si>
    <t>αz</t>
  </si>
  <si>
    <t>αy</t>
  </si>
  <si>
    <t>HEB 650</t>
  </si>
  <si>
    <t>IPE 360</t>
  </si>
  <si>
    <t>LC3 - GQWSI</t>
  </si>
  <si>
    <t>LC2 - GQWSI</t>
  </si>
  <si>
    <t>LC4 - GQEI</t>
  </si>
  <si>
    <t>General Building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</si>
</sst>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1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0" borderId="3" xfId="0" applyFont="1" applyBorder="1"/>
    <xf numFmtId="164" fontId="5" fillId="0" borderId="5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13" xfId="0" applyFont="1" applyBorder="1" applyAlignment="1">
      <alignment horizontal="center"/>
    </xf>
    <xf numFmtId="2" fontId="5" fillId="0" borderId="3" xfId="0" applyNumberFormat="1" applyFont="1" applyBorder="1"/>
    <xf numFmtId="0" fontId="0" fillId="2" borderId="10" xfId="0" applyFill="1" applyBorder="1"/>
    <xf numFmtId="0" fontId="0" fillId="2" borderId="15" xfId="0" applyFill="1" applyBorder="1"/>
    <xf numFmtId="0" fontId="10" fillId="2" borderId="14" xfId="0" applyFont="1" applyFill="1" applyBorder="1"/>
    <xf numFmtId="0" fontId="2" fillId="0" borderId="13" xfId="0" applyFont="1" applyBorder="1"/>
    <xf numFmtId="0" fontId="2" fillId="0" borderId="16" xfId="0" applyFont="1" applyBorder="1"/>
    <xf numFmtId="0" fontId="2" fillId="0" borderId="17" xfId="0" applyFont="1" applyBorder="1"/>
    <xf numFmtId="0" fontId="4" fillId="0" borderId="16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2" borderId="7" xfId="0" applyFont="1" applyFill="1" applyBorder="1"/>
    <xf numFmtId="0" fontId="4" fillId="0" borderId="2" xfId="0" applyFont="1" applyBorder="1"/>
    <xf numFmtId="0" fontId="13" fillId="0" borderId="2" xfId="0" applyFont="1" applyBorder="1"/>
    <xf numFmtId="2" fontId="5" fillId="0" borderId="12" xfId="0" applyNumberFormat="1" applyFont="1" applyBorder="1"/>
    <xf numFmtId="0" fontId="11" fillId="0" borderId="0" xfId="0" applyFont="1"/>
    <xf numFmtId="2" fontId="5" fillId="0" borderId="18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1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1" fillId="0" borderId="0" xfId="0" applyNumberFormat="1" applyFont="1"/>
    <xf numFmtId="15" fontId="2" fillId="0" borderId="0" xfId="0" applyNumberFormat="1" applyFont="1"/>
    <xf numFmtId="15" fontId="11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16" xfId="0" applyFill="1" applyBorder="1"/>
    <xf numFmtId="0" fontId="8" fillId="0" borderId="0" xfId="0" applyFont="1"/>
    <xf numFmtId="0" fontId="2" fillId="2" borderId="16" xfId="0" applyFont="1" applyFill="1" applyBorder="1"/>
    <xf numFmtId="0" fontId="2" fillId="2" borderId="17" xfId="0" applyFont="1" applyFill="1" applyBorder="1"/>
    <xf numFmtId="0" fontId="0" fillId="2" borderId="17" xfId="0" applyFill="1" applyBorder="1"/>
    <xf numFmtId="0" fontId="0" fillId="0" borderId="1" xfId="0" applyBorder="1"/>
    <xf numFmtId="0" fontId="0" fillId="0" borderId="12" xfId="0" applyBorder="1"/>
    <xf numFmtId="0" fontId="3" fillId="0" borderId="1" xfId="0" applyFont="1" applyBorder="1"/>
    <xf numFmtId="0" fontId="0" fillId="0" borderId="11" xfId="0" applyBorder="1"/>
    <xf numFmtId="0" fontId="1" fillId="0" borderId="1" xfId="0" applyFont="1" applyBorder="1"/>
    <xf numFmtId="0" fontId="3" fillId="0" borderId="11" xfId="0" applyFont="1" applyBorder="1"/>
    <xf numFmtId="0" fontId="3" fillId="0" borderId="19" xfId="0" applyFont="1" applyBorder="1"/>
    <xf numFmtId="0" fontId="2" fillId="2" borderId="16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3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16" fillId="0" borderId="0" xfId="0" applyNumberFormat="1" applyFont="1"/>
    <xf numFmtId="0" fontId="17" fillId="0" borderId="18" xfId="0" applyFont="1" applyBorder="1"/>
    <xf numFmtId="0" fontId="17" fillId="0" borderId="20" xfId="0" applyFont="1" applyBorder="1"/>
    <xf numFmtId="0" fontId="0" fillId="2" borderId="13" xfId="0" applyFill="1" applyBorder="1"/>
    <xf numFmtId="0" fontId="2" fillId="2" borderId="13" xfId="0" applyFont="1" applyFill="1" applyBorder="1"/>
    <xf numFmtId="2" fontId="5" fillId="2" borderId="16" xfId="0" applyNumberFormat="1" applyFont="1" applyFill="1" applyBorder="1"/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18" fillId="0" borderId="0" xfId="0" applyNumberFormat="1" applyFont="1"/>
    <xf numFmtId="0" fontId="0" fillId="2" borderId="0" xfId="0" applyFill="1"/>
    <xf numFmtId="0" fontId="5" fillId="0" borderId="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3" borderId="5" xfId="0" applyFont="1" applyFill="1" applyBorder="1"/>
    <xf numFmtId="2" fontId="1" fillId="3" borderId="0" xfId="0" applyNumberFormat="1" applyFont="1" applyFill="1"/>
    <xf numFmtId="0" fontId="1" fillId="4" borderId="0" xfId="0" applyFont="1" applyFill="1"/>
    <xf numFmtId="0" fontId="17" fillId="4" borderId="18" xfId="0" applyFont="1" applyFill="1" applyBorder="1"/>
    <xf numFmtId="0" fontId="17" fillId="4" borderId="20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1" fillId="0" borderId="0" xfId="0" applyFont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0" borderId="0" xfId="0" applyFont="1" applyFill="1"/>
    <xf numFmtId="165" fontId="1" fillId="0" borderId="0" xfId="0" applyNumberFormat="1" applyFont="1" applyFill="1"/>
    <xf numFmtId="0" fontId="1" fillId="4" borderId="5" xfId="0" applyFont="1" applyFill="1" applyBorder="1" applyAlignment="1">
      <alignment horizontal="right"/>
    </xf>
    <xf numFmtId="1" fontId="1" fillId="4" borderId="5" xfId="0" applyNumberFormat="1" applyFont="1" applyFill="1" applyBorder="1" applyAlignment="1">
      <alignment horizontal="right"/>
    </xf>
    <xf numFmtId="2" fontId="1" fillId="4" borderId="5" xfId="0" applyNumberFormat="1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tabSelected="1" zoomScale="85" zoomScaleNormal="85" workbookViewId="0">
      <selection activeCell="R99" sqref="R99:R107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21" t="s">
        <v>217</v>
      </c>
      <c r="C2" s="53"/>
      <c r="D2" s="22"/>
      <c r="E2" s="22"/>
      <c r="F2" s="22"/>
      <c r="G2" s="22"/>
      <c r="H2" s="23"/>
    </row>
    <row r="3" spans="2:8" x14ac:dyDescent="0.25">
      <c r="B3" s="14" t="s">
        <v>0</v>
      </c>
      <c r="C3" s="59">
        <v>21</v>
      </c>
      <c r="D3" t="s">
        <v>5</v>
      </c>
      <c r="H3" s="15"/>
    </row>
    <row r="4" spans="2:8" x14ac:dyDescent="0.25">
      <c r="B4" s="14" t="s">
        <v>101</v>
      </c>
      <c r="C4" s="59">
        <v>24</v>
      </c>
      <c r="D4" t="s">
        <v>5</v>
      </c>
      <c r="H4" s="15"/>
    </row>
    <row r="5" spans="2:8" x14ac:dyDescent="0.25">
      <c r="B5" s="14" t="s">
        <v>57</v>
      </c>
      <c r="C5" s="59">
        <v>1.5</v>
      </c>
      <c r="D5" t="s">
        <v>5</v>
      </c>
      <c r="E5" t="s">
        <v>208</v>
      </c>
      <c r="H5" s="15"/>
    </row>
    <row r="6" spans="2:8" x14ac:dyDescent="0.25">
      <c r="B6" s="14" t="s">
        <v>181</v>
      </c>
      <c r="C6" s="59">
        <v>3</v>
      </c>
      <c r="D6" t="s">
        <v>5</v>
      </c>
      <c r="E6" t="s">
        <v>207</v>
      </c>
      <c r="H6" s="15"/>
    </row>
    <row r="7" spans="2:8" x14ac:dyDescent="0.25">
      <c r="B7" s="14" t="s">
        <v>102</v>
      </c>
      <c r="C7" s="59">
        <v>6</v>
      </c>
      <c r="D7" t="s">
        <v>5</v>
      </c>
      <c r="E7" t="s">
        <v>103</v>
      </c>
      <c r="H7" s="15"/>
    </row>
    <row r="8" spans="2:8" x14ac:dyDescent="0.25">
      <c r="B8" s="14" t="s">
        <v>30</v>
      </c>
      <c r="C8" s="5">
        <f>COUNT(C24:C32)</f>
        <v>9</v>
      </c>
      <c r="H8" s="15"/>
    </row>
    <row r="9" spans="2:8" x14ac:dyDescent="0.25">
      <c r="B9" s="17"/>
      <c r="H9" s="15"/>
    </row>
    <row r="10" spans="2:8" ht="15.75" thickBot="1" x14ac:dyDescent="0.3">
      <c r="B10" s="63" t="s">
        <v>6</v>
      </c>
      <c r="C10" s="98">
        <f>9.81</f>
        <v>9.81</v>
      </c>
      <c r="D10" s="19" t="s">
        <v>7</v>
      </c>
      <c r="E10" s="19"/>
      <c r="F10" s="19"/>
      <c r="G10" s="19"/>
      <c r="H10" s="20"/>
    </row>
    <row r="11" spans="2:8" ht="15.75" thickBot="1" x14ac:dyDescent="0.3">
      <c r="C11" s="4"/>
    </row>
    <row r="12" spans="2:8" x14ac:dyDescent="0.25">
      <c r="B12" s="21" t="s">
        <v>156</v>
      </c>
      <c r="C12" s="53"/>
      <c r="D12" s="22"/>
      <c r="E12" s="22"/>
      <c r="F12" s="22"/>
      <c r="G12" s="23"/>
    </row>
    <row r="13" spans="2:8" x14ac:dyDescent="0.25">
      <c r="B13" s="14"/>
      <c r="C13" s="54" t="s">
        <v>61</v>
      </c>
      <c r="D13" s="55" t="s">
        <v>62</v>
      </c>
      <c r="E13" s="55" t="s">
        <v>63</v>
      </c>
      <c r="F13" s="55" t="s">
        <v>186</v>
      </c>
      <c r="G13" s="56" t="s">
        <v>64</v>
      </c>
    </row>
    <row r="14" spans="2:8" x14ac:dyDescent="0.25">
      <c r="B14" s="57" t="s">
        <v>60</v>
      </c>
      <c r="C14" s="59">
        <v>1.35</v>
      </c>
      <c r="D14" s="67">
        <v>1.5</v>
      </c>
      <c r="E14" s="59">
        <v>1.5</v>
      </c>
      <c r="F14" s="59">
        <v>1.5</v>
      </c>
      <c r="G14" s="15"/>
    </row>
    <row r="15" spans="2:8" ht="18" x14ac:dyDescent="0.35">
      <c r="B15" s="57" t="s">
        <v>157</v>
      </c>
      <c r="C15" s="4"/>
      <c r="D15" s="67">
        <v>0.7</v>
      </c>
      <c r="E15" s="67">
        <v>0.6</v>
      </c>
      <c r="F15" s="59">
        <v>0.5</v>
      </c>
      <c r="G15" s="15"/>
    </row>
    <row r="16" spans="2:8" s="13" customFormat="1" ht="18" x14ac:dyDescent="0.35">
      <c r="B16" s="57" t="s">
        <v>158</v>
      </c>
      <c r="C16" s="4"/>
      <c r="D16" s="67">
        <v>0.5</v>
      </c>
      <c r="E16" s="67">
        <v>0.2</v>
      </c>
      <c r="F16" s="67">
        <v>0.2</v>
      </c>
      <c r="G16" s="52"/>
    </row>
    <row r="17" spans="2:22" ht="18" x14ac:dyDescent="0.35">
      <c r="B17" s="57" t="s">
        <v>159</v>
      </c>
      <c r="C17" s="4"/>
      <c r="D17" s="67">
        <v>0.3</v>
      </c>
      <c r="E17" s="67">
        <v>0</v>
      </c>
      <c r="F17" s="67">
        <v>0</v>
      </c>
      <c r="G17" s="15"/>
    </row>
    <row r="18" spans="2:22" x14ac:dyDescent="0.25">
      <c r="B18" s="57" t="s">
        <v>65</v>
      </c>
      <c r="C18" s="4"/>
      <c r="D18" s="59">
        <v>1</v>
      </c>
      <c r="E18" s="4"/>
      <c r="G18" s="33"/>
    </row>
    <row r="19" spans="2:22" ht="18.75" thickBot="1" x14ac:dyDescent="0.4">
      <c r="B19" s="58" t="s">
        <v>160</v>
      </c>
      <c r="C19" s="26"/>
      <c r="D19" s="27">
        <f>D18*D17</f>
        <v>0.3</v>
      </c>
      <c r="E19" s="19"/>
      <c r="F19" s="19"/>
      <c r="G19" s="20"/>
    </row>
    <row r="20" spans="2:22" ht="15.75" thickBot="1" x14ac:dyDescent="0.3"/>
    <row r="21" spans="2:22" x14ac:dyDescent="0.25">
      <c r="B21" s="21" t="s">
        <v>72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  <c r="S21" s="21" t="s">
        <v>191</v>
      </c>
      <c r="T21" s="22"/>
      <c r="U21" s="22"/>
      <c r="V21" s="23"/>
    </row>
    <row r="22" spans="2:22" x14ac:dyDescent="0.25">
      <c r="B22" s="14"/>
      <c r="I22" s="2" t="s">
        <v>67</v>
      </c>
      <c r="J22" s="2"/>
      <c r="L22" s="2"/>
      <c r="M22" s="2"/>
      <c r="N22" s="2" t="s">
        <v>68</v>
      </c>
      <c r="O22" s="2"/>
      <c r="Q22" s="31"/>
      <c r="S22" s="14"/>
      <c r="V22" s="15"/>
    </row>
    <row r="23" spans="2:22" x14ac:dyDescent="0.25">
      <c r="B23" s="17" t="s">
        <v>3</v>
      </c>
      <c r="C23" s="2" t="s">
        <v>1</v>
      </c>
      <c r="D23" s="2" t="s">
        <v>2</v>
      </c>
      <c r="E23" s="2" t="s">
        <v>190</v>
      </c>
      <c r="F23" s="2" t="s">
        <v>33</v>
      </c>
      <c r="G23" s="2" t="s">
        <v>34</v>
      </c>
      <c r="I23" s="2" t="s">
        <v>202</v>
      </c>
      <c r="J23" s="2" t="s">
        <v>215</v>
      </c>
      <c r="K23" s="2" t="s">
        <v>214</v>
      </c>
      <c r="L23" s="3" t="s">
        <v>216</v>
      </c>
      <c r="N23" s="2" t="s">
        <v>183</v>
      </c>
      <c r="O23" s="2" t="s">
        <v>184</v>
      </c>
      <c r="P23" s="2" t="s">
        <v>185</v>
      </c>
      <c r="Q23" s="24" t="s">
        <v>66</v>
      </c>
      <c r="S23" s="14" t="s">
        <v>193</v>
      </c>
      <c r="T23" t="s">
        <v>192</v>
      </c>
      <c r="U23" s="59">
        <v>0.85</v>
      </c>
      <c r="V23" s="15" t="s">
        <v>194</v>
      </c>
    </row>
    <row r="24" spans="2:22" x14ac:dyDescent="0.25">
      <c r="B24" s="14">
        <v>1</v>
      </c>
      <c r="C24" s="59">
        <v>7.5</v>
      </c>
      <c r="D24" s="59">
        <v>3</v>
      </c>
      <c r="E24" s="5">
        <f t="shared" ref="E24:E32" si="0">IF(C24&lt;&gt;"", IF(G24=MAX($G$24:$G$32), $U$29, 0), "")</f>
        <v>0</v>
      </c>
      <c r="F24" s="59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25">
        <f t="shared" ref="Q24:Q32" si="3">IF(C24&lt;&gt;"", L24*$C$5, "")</f>
        <v>12.600000000000001</v>
      </c>
      <c r="S24" s="14" t="s">
        <v>195</v>
      </c>
      <c r="T24" s="1" t="s">
        <v>55</v>
      </c>
      <c r="U24" s="59">
        <v>4</v>
      </c>
      <c r="V24" s="15" t="s">
        <v>196</v>
      </c>
    </row>
    <row r="25" spans="2:22" x14ac:dyDescent="0.25">
      <c r="B25" s="14">
        <v>2</v>
      </c>
      <c r="C25" s="59">
        <v>7.5</v>
      </c>
      <c r="D25" s="59">
        <v>3</v>
      </c>
      <c r="E25" s="5">
        <f t="shared" si="0"/>
        <v>0</v>
      </c>
      <c r="F25" s="59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25">
        <f t="shared" si="3"/>
        <v>12.600000000000001</v>
      </c>
      <c r="S25" s="14"/>
      <c r="T25" t="s">
        <v>197</v>
      </c>
      <c r="U25" s="99">
        <v>1</v>
      </c>
      <c r="V25" s="15"/>
    </row>
    <row r="26" spans="2:22" x14ac:dyDescent="0.25">
      <c r="B26" s="14">
        <v>3</v>
      </c>
      <c r="C26" s="59">
        <v>7.5</v>
      </c>
      <c r="D26" s="59">
        <v>3</v>
      </c>
      <c r="E26" s="5">
        <f t="shared" si="0"/>
        <v>0</v>
      </c>
      <c r="F26" s="59">
        <v>3.5</v>
      </c>
      <c r="G26" s="5">
        <f>IF(C26&lt;&gt;"", SUM($F$24:F26), "")</f>
        <v>10.5</v>
      </c>
      <c r="I26" s="5">
        <f t="shared" si="4"/>
        <v>14.625</v>
      </c>
      <c r="J26" s="5">
        <f t="shared" si="5"/>
        <v>13.274999999999999</v>
      </c>
      <c r="K26" s="5">
        <f>IF(C26&lt;&gt;"", $C$14*C26 + $D$14*$D$15*D26 + $F$14*E26, "")</f>
        <v>13.274999999999999</v>
      </c>
      <c r="L26" s="5">
        <f t="shared" si="1"/>
        <v>8.4</v>
      </c>
      <c r="N26" s="5">
        <f t="shared" si="2"/>
        <v>21.9375</v>
      </c>
      <c r="O26" s="5">
        <f t="shared" si="7"/>
        <v>19.912499999999998</v>
      </c>
      <c r="P26" s="5">
        <f t="shared" si="8"/>
        <v>19.912499999999998</v>
      </c>
      <c r="Q26" s="25">
        <f t="shared" si="3"/>
        <v>12.600000000000001</v>
      </c>
      <c r="S26" s="14"/>
      <c r="T26" t="s">
        <v>198</v>
      </c>
      <c r="U26" s="99">
        <v>1</v>
      </c>
      <c r="V26" s="15"/>
    </row>
    <row r="27" spans="2:22" x14ac:dyDescent="0.25">
      <c r="B27" s="14">
        <v>4</v>
      </c>
      <c r="C27" s="59">
        <v>7.5</v>
      </c>
      <c r="D27" s="59">
        <v>3</v>
      </c>
      <c r="E27" s="5">
        <f t="shared" si="0"/>
        <v>0</v>
      </c>
      <c r="F27" s="59">
        <v>3.5</v>
      </c>
      <c r="G27" s="5">
        <f>IF(C27&lt;&gt;"", SUM($F$24:F27), "")</f>
        <v>14</v>
      </c>
      <c r="I27" s="5">
        <f t="shared" si="4"/>
        <v>14.625</v>
      </c>
      <c r="J27" s="5">
        <f t="shared" si="5"/>
        <v>13.274999999999999</v>
      </c>
      <c r="K27" s="5">
        <f t="shared" si="6"/>
        <v>13.274999999999999</v>
      </c>
      <c r="L27" s="5">
        <f t="shared" si="1"/>
        <v>8.4</v>
      </c>
      <c r="N27" s="5">
        <f t="shared" si="2"/>
        <v>21.9375</v>
      </c>
      <c r="O27" s="5">
        <f t="shared" si="7"/>
        <v>19.912499999999998</v>
      </c>
      <c r="P27" s="5">
        <f t="shared" si="8"/>
        <v>19.912499999999998</v>
      </c>
      <c r="Q27" s="25">
        <f t="shared" si="3"/>
        <v>12.600000000000001</v>
      </c>
      <c r="S27" s="14"/>
      <c r="V27" s="15"/>
    </row>
    <row r="28" spans="2:22" ht="18" x14ac:dyDescent="0.35">
      <c r="B28" s="14">
        <v>5</v>
      </c>
      <c r="C28" s="59">
        <v>7.5</v>
      </c>
      <c r="D28" s="59">
        <v>3</v>
      </c>
      <c r="E28" s="5">
        <f t="shared" si="0"/>
        <v>0</v>
      </c>
      <c r="F28" s="59">
        <v>3.5</v>
      </c>
      <c r="G28" s="5">
        <f>IF(C28&lt;&gt;"", SUM($F$24:F28), "")</f>
        <v>17.5</v>
      </c>
      <c r="I28" s="5">
        <f t="shared" si="4"/>
        <v>14.625</v>
      </c>
      <c r="J28" s="5">
        <f t="shared" si="5"/>
        <v>13.274999999999999</v>
      </c>
      <c r="K28" s="5">
        <f t="shared" si="6"/>
        <v>13.274999999999999</v>
      </c>
      <c r="L28" s="5">
        <f t="shared" si="1"/>
        <v>8.4</v>
      </c>
      <c r="N28" s="5">
        <f t="shared" si="2"/>
        <v>21.9375</v>
      </c>
      <c r="O28" s="5">
        <f t="shared" si="7"/>
        <v>19.912499999999998</v>
      </c>
      <c r="P28" s="5">
        <f t="shared" si="8"/>
        <v>19.912499999999998</v>
      </c>
      <c r="Q28" s="25">
        <f t="shared" si="3"/>
        <v>12.600000000000001</v>
      </c>
      <c r="S28" s="14" t="s">
        <v>199</v>
      </c>
      <c r="T28" s="1" t="s">
        <v>200</v>
      </c>
      <c r="U28" s="5">
        <f>IF(U24&lt;30, 0.8, IF(U24&lt;60, 0.8*(60-U24)/30, 0))</f>
        <v>0.8</v>
      </c>
      <c r="V28" s="15" t="s">
        <v>194</v>
      </c>
    </row>
    <row r="29" spans="2:22" x14ac:dyDescent="0.25">
      <c r="B29" s="14">
        <v>6</v>
      </c>
      <c r="C29" s="59">
        <v>7.5</v>
      </c>
      <c r="D29" s="59">
        <v>3</v>
      </c>
      <c r="E29" s="5">
        <f t="shared" si="0"/>
        <v>0</v>
      </c>
      <c r="F29" s="59">
        <v>3.5</v>
      </c>
      <c r="G29" s="5">
        <f>IF(C29&lt;&gt;"", SUM($F$24:F29), "")</f>
        <v>21</v>
      </c>
      <c r="I29" s="5">
        <f t="shared" si="4"/>
        <v>14.625</v>
      </c>
      <c r="J29" s="5">
        <f t="shared" si="5"/>
        <v>13.274999999999999</v>
      </c>
      <c r="K29" s="5">
        <f t="shared" si="6"/>
        <v>13.274999999999999</v>
      </c>
      <c r="L29" s="5">
        <f t="shared" si="1"/>
        <v>8.4</v>
      </c>
      <c r="N29" s="5">
        <f t="shared" si="2"/>
        <v>21.9375</v>
      </c>
      <c r="O29" s="5">
        <f t="shared" si="7"/>
        <v>19.912499999999998</v>
      </c>
      <c r="P29" s="5">
        <f t="shared" si="8"/>
        <v>19.912499999999998</v>
      </c>
      <c r="Q29" s="25">
        <f t="shared" si="3"/>
        <v>12.600000000000001</v>
      </c>
      <c r="S29" s="14" t="s">
        <v>201</v>
      </c>
      <c r="T29" s="1" t="s">
        <v>8</v>
      </c>
      <c r="U29" s="5">
        <f>U28*U25*U26*U23</f>
        <v>0.68</v>
      </c>
      <c r="V29" s="15" t="s">
        <v>194</v>
      </c>
    </row>
    <row r="30" spans="2:22" x14ac:dyDescent="0.25">
      <c r="B30" s="14">
        <v>7</v>
      </c>
      <c r="C30" s="59">
        <v>7.5</v>
      </c>
      <c r="D30" s="59">
        <v>3</v>
      </c>
      <c r="E30" s="5">
        <f t="shared" si="0"/>
        <v>0</v>
      </c>
      <c r="F30" s="59">
        <v>3.5</v>
      </c>
      <c r="G30" s="5">
        <f>IF(C30&lt;&gt;"", SUM($F$24:F30), "")</f>
        <v>24.5</v>
      </c>
      <c r="I30" s="5">
        <f t="shared" si="4"/>
        <v>14.625</v>
      </c>
      <c r="J30" s="5">
        <f t="shared" si="5"/>
        <v>13.274999999999999</v>
      </c>
      <c r="K30" s="5">
        <f t="shared" si="6"/>
        <v>13.274999999999999</v>
      </c>
      <c r="L30" s="5">
        <f t="shared" si="1"/>
        <v>8.4</v>
      </c>
      <c r="N30" s="5">
        <f t="shared" si="2"/>
        <v>21.9375</v>
      </c>
      <c r="O30" s="5">
        <f t="shared" si="7"/>
        <v>19.912499999999998</v>
      </c>
      <c r="P30" s="5">
        <f t="shared" si="8"/>
        <v>19.912499999999998</v>
      </c>
      <c r="Q30" s="25">
        <f t="shared" si="3"/>
        <v>12.600000000000001</v>
      </c>
      <c r="S30" s="14"/>
      <c r="V30" s="15"/>
    </row>
    <row r="31" spans="2:22" x14ac:dyDescent="0.25">
      <c r="B31" s="14">
        <v>8</v>
      </c>
      <c r="C31" s="59">
        <v>7.5</v>
      </c>
      <c r="D31" s="59">
        <v>3</v>
      </c>
      <c r="E31" s="5">
        <f t="shared" si="0"/>
        <v>0</v>
      </c>
      <c r="F31" s="59">
        <v>3.5</v>
      </c>
      <c r="G31" s="5">
        <f>IF(C31&lt;&gt;"", SUM($F$24:F31), "")</f>
        <v>28</v>
      </c>
      <c r="I31" s="5">
        <f t="shared" si="4"/>
        <v>14.625</v>
      </c>
      <c r="J31" s="5">
        <f t="shared" si="5"/>
        <v>13.274999999999999</v>
      </c>
      <c r="K31" s="5">
        <f t="shared" si="6"/>
        <v>13.274999999999999</v>
      </c>
      <c r="L31" s="5">
        <f t="shared" si="1"/>
        <v>8.4</v>
      </c>
      <c r="N31" s="5">
        <f t="shared" si="2"/>
        <v>21.9375</v>
      </c>
      <c r="O31" s="5">
        <f t="shared" si="7"/>
        <v>19.912499999999998</v>
      </c>
      <c r="P31" s="5">
        <f t="shared" si="8"/>
        <v>19.912499999999998</v>
      </c>
      <c r="Q31" s="25">
        <f t="shared" si="3"/>
        <v>12.600000000000001</v>
      </c>
      <c r="S31" s="14"/>
      <c r="V31" s="15"/>
    </row>
    <row r="32" spans="2:22" ht="15.75" thickBot="1" x14ac:dyDescent="0.3">
      <c r="B32" s="14">
        <v>9</v>
      </c>
      <c r="C32" s="59">
        <v>7.5</v>
      </c>
      <c r="D32" s="59">
        <v>0</v>
      </c>
      <c r="E32" s="5">
        <f t="shared" si="0"/>
        <v>0.68</v>
      </c>
      <c r="F32" s="59">
        <v>3.5</v>
      </c>
      <c r="G32" s="5">
        <f>IF(C32&lt;&gt;"", SUM($F$24:F32), "")</f>
        <v>31.5</v>
      </c>
      <c r="I32" s="5">
        <f t="shared" si="4"/>
        <v>10.635</v>
      </c>
      <c r="J32" s="5">
        <f t="shared" si="5"/>
        <v>10.635</v>
      </c>
      <c r="K32" s="5">
        <f t="shared" si="6"/>
        <v>11.145</v>
      </c>
      <c r="L32" s="5">
        <f t="shared" si="1"/>
        <v>7.5</v>
      </c>
      <c r="N32" s="5">
        <f t="shared" si="2"/>
        <v>15.952500000000001</v>
      </c>
      <c r="O32" s="5">
        <f t="shared" si="7"/>
        <v>15.952500000000001</v>
      </c>
      <c r="P32" s="5">
        <f t="shared" si="8"/>
        <v>16.717500000000001</v>
      </c>
      <c r="Q32" s="25">
        <f t="shared" si="3"/>
        <v>11.25</v>
      </c>
      <c r="S32" s="18"/>
      <c r="T32" s="19"/>
      <c r="U32" s="19"/>
      <c r="V32" s="20"/>
    </row>
    <row r="33" spans="2:23" ht="15.75" thickBot="1" x14ac:dyDescent="0.3">
      <c r="B33" s="18"/>
      <c r="C33" s="26"/>
      <c r="D33" s="26"/>
      <c r="E33" s="27"/>
      <c r="F33" s="26"/>
      <c r="G33" s="27"/>
      <c r="H33" s="19"/>
      <c r="I33" s="27"/>
      <c r="J33" s="27"/>
      <c r="K33" s="27"/>
      <c r="L33" s="27"/>
      <c r="M33" s="19"/>
      <c r="N33" s="27"/>
      <c r="O33" s="27"/>
      <c r="P33" s="27"/>
      <c r="Q33" s="28"/>
    </row>
    <row r="35" spans="2:23" ht="15.75" thickBot="1" x14ac:dyDescent="0.3"/>
    <row r="36" spans="2:23" x14ac:dyDescent="0.25">
      <c r="B36" s="21" t="s">
        <v>73</v>
      </c>
      <c r="C36" s="22"/>
      <c r="D36" s="22"/>
      <c r="E36" s="22"/>
      <c r="F36" s="22"/>
      <c r="G36" s="22"/>
      <c r="H36" s="22"/>
      <c r="I36" s="22"/>
      <c r="J36" s="23"/>
      <c r="L36" s="21" t="s">
        <v>74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3"/>
    </row>
    <row r="37" spans="2:23" x14ac:dyDescent="0.25">
      <c r="B37" s="14" t="s">
        <v>10</v>
      </c>
      <c r="C37" s="59">
        <v>0</v>
      </c>
      <c r="D37" t="s">
        <v>6</v>
      </c>
      <c r="J37" s="15"/>
      <c r="L37" s="16" t="s">
        <v>94</v>
      </c>
      <c r="M37" s="59">
        <v>1.25</v>
      </c>
      <c r="N37" t="s">
        <v>95</v>
      </c>
      <c r="Q37" s="82" t="s">
        <v>91</v>
      </c>
      <c r="R37" s="5">
        <f>0.19*(M44/0.05)^0.07</f>
        <v>0.23432881734391497</v>
      </c>
      <c r="S37" s="82"/>
      <c r="W37" s="15"/>
    </row>
    <row r="38" spans="2:23" x14ac:dyDescent="0.25">
      <c r="B38" s="14" t="s">
        <v>11</v>
      </c>
      <c r="C38" s="59">
        <f>0.3*C37</f>
        <v>0</v>
      </c>
      <c r="D38" t="s">
        <v>6</v>
      </c>
      <c r="J38" s="15"/>
      <c r="L38" s="48" t="s">
        <v>75</v>
      </c>
      <c r="M38" s="59">
        <v>2</v>
      </c>
      <c r="N38" s="82"/>
      <c r="O38" s="82"/>
      <c r="Q38" s="82" t="s">
        <v>92</v>
      </c>
      <c r="R38" s="5">
        <f>M39*M41*M42</f>
        <v>25</v>
      </c>
      <c r="S38" t="s">
        <v>77</v>
      </c>
      <c r="W38" s="15"/>
    </row>
    <row r="39" spans="2:23" x14ac:dyDescent="0.25">
      <c r="B39" s="14" t="s">
        <v>12</v>
      </c>
      <c r="C39" s="65" t="s">
        <v>13</v>
      </c>
      <c r="E39" s="70" t="s">
        <v>3</v>
      </c>
      <c r="F39" s="70" t="s">
        <v>4</v>
      </c>
      <c r="G39" s="70" t="s">
        <v>35</v>
      </c>
      <c r="H39" s="68"/>
      <c r="I39" s="70" t="s">
        <v>36</v>
      </c>
      <c r="J39" s="71" t="s">
        <v>32</v>
      </c>
      <c r="L39" s="48" t="s">
        <v>76</v>
      </c>
      <c r="M39" s="59">
        <v>25</v>
      </c>
      <c r="N39" s="82" t="s">
        <v>77</v>
      </c>
      <c r="O39" s="82"/>
      <c r="Q39" s="82" t="s">
        <v>98</v>
      </c>
      <c r="R39" s="8">
        <f>SUM(F24:F32)</f>
        <v>31.5</v>
      </c>
      <c r="S39" t="s">
        <v>5</v>
      </c>
      <c r="T39" t="s">
        <v>161</v>
      </c>
      <c r="W39" s="15"/>
    </row>
    <row r="40" spans="2:23" x14ac:dyDescent="0.25">
      <c r="B40" s="14" t="s">
        <v>14</v>
      </c>
      <c r="C40" s="59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36">
        <f t="shared" ref="J40:J48" si="11">IF(C24&lt;&gt;"", $C$70 * I40/$I$49, "")</f>
        <v>0</v>
      </c>
      <c r="L40" s="48" t="s">
        <v>78</v>
      </c>
      <c r="M40" s="59">
        <v>0.39</v>
      </c>
      <c r="N40" s="82" t="s">
        <v>77</v>
      </c>
      <c r="O40" s="82"/>
      <c r="Q40" s="82" t="s">
        <v>99</v>
      </c>
      <c r="R40" s="8">
        <f>C3</f>
        <v>21</v>
      </c>
      <c r="S40" t="s">
        <v>5</v>
      </c>
      <c r="W40" s="15"/>
    </row>
    <row r="41" spans="2:23" x14ac:dyDescent="0.25">
      <c r="B41" s="14" t="s">
        <v>15</v>
      </c>
      <c r="C41" s="59">
        <f>1.6*(1-0.2*C37)</f>
        <v>1.6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36">
        <f t="shared" si="11"/>
        <v>0</v>
      </c>
      <c r="L41" s="48" t="s">
        <v>85</v>
      </c>
      <c r="M41" s="59">
        <v>1</v>
      </c>
      <c r="N41" s="82"/>
      <c r="O41" s="82"/>
      <c r="Q41" s="82" t="s">
        <v>59</v>
      </c>
      <c r="R41" s="5">
        <f>C4</f>
        <v>24</v>
      </c>
      <c r="S41" s="82" t="s">
        <v>5</v>
      </c>
      <c r="W41" s="15"/>
    </row>
    <row r="42" spans="2:23" x14ac:dyDescent="0.25">
      <c r="B42" s="14" t="s">
        <v>16</v>
      </c>
      <c r="C42" s="59">
        <f>2.3*(1-0.3*C38)</f>
        <v>2.2999999999999998</v>
      </c>
      <c r="E42">
        <v>3</v>
      </c>
      <c r="F42" s="5">
        <f t="shared" si="12"/>
        <v>1058.4000000000001</v>
      </c>
      <c r="G42" s="6">
        <f t="shared" si="9"/>
        <v>107.88990825688074</v>
      </c>
      <c r="I42" s="6">
        <f t="shared" si="10"/>
        <v>1132.8440366972477</v>
      </c>
      <c r="J42" s="36">
        <f t="shared" si="11"/>
        <v>0</v>
      </c>
      <c r="L42" s="48" t="s">
        <v>86</v>
      </c>
      <c r="M42" s="59">
        <v>1</v>
      </c>
      <c r="O42" s="82"/>
      <c r="Q42" s="82" t="s">
        <v>100</v>
      </c>
      <c r="R42" s="9">
        <f>R39/R40</f>
        <v>1.5</v>
      </c>
      <c r="W42" s="15"/>
    </row>
    <row r="43" spans="2:23" x14ac:dyDescent="0.25">
      <c r="B43" s="14"/>
      <c r="E43">
        <v>4</v>
      </c>
      <c r="F43" s="5">
        <f t="shared" si="12"/>
        <v>1058.4000000000001</v>
      </c>
      <c r="G43" s="6">
        <f t="shared" si="9"/>
        <v>107.88990825688074</v>
      </c>
      <c r="I43" s="6">
        <f t="shared" si="10"/>
        <v>1510.4587155963304</v>
      </c>
      <c r="J43" s="36">
        <f t="shared" si="11"/>
        <v>0</v>
      </c>
      <c r="L43" s="48" t="s">
        <v>87</v>
      </c>
      <c r="M43" s="59">
        <v>2</v>
      </c>
      <c r="N43" s="82"/>
      <c r="O43" s="82"/>
      <c r="Q43" s="82" t="s">
        <v>122</v>
      </c>
      <c r="R43" s="5">
        <f>R40/R41</f>
        <v>0.875</v>
      </c>
      <c r="W43" s="15"/>
    </row>
    <row r="44" spans="2:23" ht="18" x14ac:dyDescent="0.35">
      <c r="B44" s="14" t="s">
        <v>17</v>
      </c>
      <c r="C44" s="6">
        <f>C40*C41*C37</f>
        <v>0</v>
      </c>
      <c r="E44">
        <v>5</v>
      </c>
      <c r="F44" s="5">
        <f t="shared" si="12"/>
        <v>1058.4000000000001</v>
      </c>
      <c r="G44" s="6">
        <f t="shared" si="9"/>
        <v>107.88990825688074</v>
      </c>
      <c r="I44" s="6">
        <f t="shared" si="10"/>
        <v>1888.0733944954131</v>
      </c>
      <c r="J44" s="36">
        <f t="shared" si="11"/>
        <v>0</v>
      </c>
      <c r="L44" s="48" t="s">
        <v>82</v>
      </c>
      <c r="M44" s="59">
        <v>1</v>
      </c>
      <c r="N44" s="82" t="s">
        <v>5</v>
      </c>
      <c r="O44" s="82"/>
      <c r="Q44" s="82" t="s">
        <v>126</v>
      </c>
      <c r="R44" s="9">
        <f>R39/R41</f>
        <v>1.3125</v>
      </c>
      <c r="W44" s="15"/>
    </row>
    <row r="45" spans="2:23" ht="18" x14ac:dyDescent="0.35">
      <c r="B45" s="14" t="s">
        <v>18</v>
      </c>
      <c r="C45" s="6">
        <f>C40*C42*C38</f>
        <v>0</v>
      </c>
      <c r="E45">
        <v>6</v>
      </c>
      <c r="F45" s="5">
        <f t="shared" si="12"/>
        <v>1058.4000000000001</v>
      </c>
      <c r="G45" s="6">
        <f t="shared" si="9"/>
        <v>107.88990825688074</v>
      </c>
      <c r="I45" s="6">
        <f t="shared" si="10"/>
        <v>2265.6880733944954</v>
      </c>
      <c r="J45" s="36">
        <f t="shared" si="11"/>
        <v>0</v>
      </c>
      <c r="L45" s="48" t="s">
        <v>84</v>
      </c>
      <c r="M45" s="59">
        <v>10</v>
      </c>
      <c r="N45" s="82" t="s">
        <v>5</v>
      </c>
      <c r="O45" s="82"/>
      <c r="Q45" s="82" t="s">
        <v>79</v>
      </c>
      <c r="R45" s="9">
        <f>IF(R42&gt;=1, 0.8, IF(AND(R42&lt;1, R42&gt;0.25), 0.8-0.1333*R42, 0.7))</f>
        <v>0.8</v>
      </c>
      <c r="W45" s="15"/>
    </row>
    <row r="46" spans="2:23" x14ac:dyDescent="0.25">
      <c r="B46" s="14"/>
      <c r="E46">
        <v>7</v>
      </c>
      <c r="F46" s="5">
        <f t="shared" si="12"/>
        <v>1058.4000000000001</v>
      </c>
      <c r="G46" s="6">
        <f t="shared" si="9"/>
        <v>107.88990825688074</v>
      </c>
      <c r="I46" s="6">
        <f t="shared" si="10"/>
        <v>2643.3027522935781</v>
      </c>
      <c r="J46" s="36">
        <f t="shared" si="11"/>
        <v>0</v>
      </c>
      <c r="L46" s="48" t="s">
        <v>105</v>
      </c>
      <c r="M46" s="9">
        <f>0.67+0.05*LN(M44)</f>
        <v>0.67</v>
      </c>
      <c r="N46" s="82"/>
      <c r="O46" s="82"/>
      <c r="Q46" s="82" t="s">
        <v>80</v>
      </c>
      <c r="R46" s="9">
        <f>IF(R42&gt;5, -0.7, IF(AND(R42&gt;1, R42&lt;=5), -0.7+0.05*(5-R42), IF(AND(R42&gt;0.25, R42&lt;=1), -0.5+0.2667*(1-R42), -0.3)))</f>
        <v>-0.52499999999999991</v>
      </c>
      <c r="S46" s="82"/>
      <c r="W46" s="15"/>
    </row>
    <row r="47" spans="2:23" x14ac:dyDescent="0.25">
      <c r="B47" s="14" t="s">
        <v>24</v>
      </c>
      <c r="C47" s="59">
        <v>2.5</v>
      </c>
      <c r="E47">
        <v>8</v>
      </c>
      <c r="F47" s="5">
        <f t="shared" si="12"/>
        <v>1058.4000000000001</v>
      </c>
      <c r="G47" s="6">
        <f t="shared" si="9"/>
        <v>107.88990825688074</v>
      </c>
      <c r="I47" s="6">
        <f t="shared" si="10"/>
        <v>3020.9174311926608</v>
      </c>
      <c r="J47" s="36">
        <f t="shared" si="11"/>
        <v>0</v>
      </c>
      <c r="L47" s="48" t="s">
        <v>88</v>
      </c>
      <c r="M47" s="65" t="s">
        <v>89</v>
      </c>
      <c r="N47" s="82"/>
      <c r="O47" s="82"/>
      <c r="Q47" s="82" t="s">
        <v>114</v>
      </c>
      <c r="R47" s="9">
        <f>MAX(0.6*R39, M45)</f>
        <v>18.899999999999999</v>
      </c>
      <c r="S47" t="s">
        <v>5</v>
      </c>
      <c r="W47" s="15"/>
    </row>
    <row r="48" spans="2:23" x14ac:dyDescent="0.25">
      <c r="B48" s="16" t="s">
        <v>25</v>
      </c>
      <c r="C48" s="59">
        <v>4</v>
      </c>
      <c r="E48">
        <v>9</v>
      </c>
      <c r="F48" s="5">
        <f t="shared" si="12"/>
        <v>945</v>
      </c>
      <c r="G48" s="6">
        <f t="shared" si="9"/>
        <v>96.330275229357795</v>
      </c>
      <c r="I48" s="6">
        <f t="shared" si="10"/>
        <v>3034.4036697247707</v>
      </c>
      <c r="J48" s="36">
        <f t="shared" si="11"/>
        <v>0</v>
      </c>
      <c r="L48" s="48" t="s">
        <v>81</v>
      </c>
      <c r="M48" s="59">
        <v>1</v>
      </c>
      <c r="N48" s="82"/>
      <c r="O48" s="82"/>
      <c r="Q48" s="82" t="s">
        <v>106</v>
      </c>
      <c r="R48" s="9">
        <f>IF(R47&gt;M45,300*(R47/200)^M46, 300*(M45/200)^M46)</f>
        <v>61.753356286754837</v>
      </c>
      <c r="W48" s="15"/>
    </row>
    <row r="49" spans="2:23" x14ac:dyDescent="0.25">
      <c r="B49" s="14" t="s">
        <v>19</v>
      </c>
      <c r="C49" s="59">
        <v>0.02</v>
      </c>
      <c r="E49" s="75" t="s">
        <v>71</v>
      </c>
      <c r="F49" s="7">
        <f>SUM(F40:F48)</f>
        <v>9412.1999999999989</v>
      </c>
      <c r="G49" s="7">
        <f>SUM(G40:G48)</f>
        <v>959.44954128440372</v>
      </c>
      <c r="H49" s="7"/>
      <c r="I49" s="7">
        <f t="shared" ref="I49:J49" si="13">SUM(I40:I48)</f>
        <v>16628.532110091746</v>
      </c>
      <c r="J49" s="49">
        <f t="shared" si="13"/>
        <v>0</v>
      </c>
      <c r="L49" s="48" t="s">
        <v>83</v>
      </c>
      <c r="M49" s="59">
        <v>1</v>
      </c>
      <c r="N49" s="82"/>
      <c r="O49" s="82"/>
      <c r="Q49" s="82" t="s">
        <v>116</v>
      </c>
      <c r="R49" s="9">
        <f>IF(R47&lt;=$M$45, $R$37*LN($M$45/$M$44),  $R$37*LN(R47/$M$44))</f>
        <v>0.68873033717989929</v>
      </c>
      <c r="W49" s="15"/>
    </row>
    <row r="50" spans="2:23" x14ac:dyDescent="0.25">
      <c r="B50" s="14" t="s">
        <v>20</v>
      </c>
      <c r="C50" s="59">
        <f>IF((C51/C48) &lt; 0.05, C51/C48, IF((C51/C48) &lt; 0.01, 0.05, 0.1))</f>
        <v>0</v>
      </c>
      <c r="J50" s="15"/>
      <c r="L50" s="14"/>
      <c r="O50" s="82"/>
      <c r="Q50" s="82" t="s">
        <v>115</v>
      </c>
      <c r="R50" s="9">
        <f>R49*$M$48*$R$38</f>
        <v>17.218258429497482</v>
      </c>
      <c r="S50" t="s">
        <v>77</v>
      </c>
      <c r="W50" s="15"/>
    </row>
    <row r="51" spans="2:23" x14ac:dyDescent="0.25">
      <c r="B51" s="14" t="s">
        <v>21</v>
      </c>
      <c r="C51" s="6">
        <f>IF(C37=0, 0, C45/C44 * C53)</f>
        <v>0</v>
      </c>
      <c r="E51" s="69" t="s">
        <v>38</v>
      </c>
      <c r="J51" s="15"/>
      <c r="L51" s="14"/>
      <c r="M51" s="11" t="s">
        <v>69</v>
      </c>
      <c r="N51" s="11" t="s">
        <v>70</v>
      </c>
      <c r="O51" s="11" t="s">
        <v>182</v>
      </c>
      <c r="Q51" s="82" t="s">
        <v>107</v>
      </c>
      <c r="R51" s="92">
        <f>1 / (1+3/2*SQRT((C4/R48)^2 + (R39/R48)^2 + (C4*R39/R48^2)^2))</f>
        <v>0.49829737307287802</v>
      </c>
      <c r="W51" s="15"/>
    </row>
    <row r="52" spans="2:23" x14ac:dyDescent="0.25">
      <c r="B52" s="14" t="s">
        <v>22</v>
      </c>
      <c r="C52" s="6">
        <f>IF(C38*C10 &lt;= 1, 2, 1+C38)</f>
        <v>2</v>
      </c>
      <c r="E52" s="70" t="s">
        <v>3</v>
      </c>
      <c r="F52" s="70" t="s">
        <v>35</v>
      </c>
      <c r="G52" s="70" t="s">
        <v>37</v>
      </c>
      <c r="H52" s="70" t="s">
        <v>39</v>
      </c>
      <c r="I52" s="70" t="s">
        <v>40</v>
      </c>
      <c r="J52" s="72"/>
      <c r="L52" s="48" t="s">
        <v>104</v>
      </c>
      <c r="M52" s="9" t="e">
        <f>IF($R$39&lt;15, 1, (1+2*M54*$R$59*SQRT($R$51+M56))/(1+7*$R$59))</f>
        <v>#DIV/0!</v>
      </c>
      <c r="N52" s="9" t="e">
        <f>IF($R$39&lt;15, 1, (1+2*N54*$R$59*SQRT($R$51+N56))/(1+7*$R$59))</f>
        <v>#DIV/0!</v>
      </c>
      <c r="O52" s="9" t="e">
        <f>IF($R$39&lt;15, 1, (1+2*O54*$R$59*SQRT($R$51+O56))/(1+7*$R$59))</f>
        <v>#DIV/0!</v>
      </c>
      <c r="Q52" s="1" t="s">
        <v>119</v>
      </c>
      <c r="R52" s="59">
        <v>0.05</v>
      </c>
      <c r="W52" s="15"/>
    </row>
    <row r="53" spans="2:23" x14ac:dyDescent="0.25">
      <c r="B53" s="14" t="s">
        <v>23</v>
      </c>
      <c r="C53" s="59">
        <v>1</v>
      </c>
      <c r="E53">
        <v>1</v>
      </c>
      <c r="F53" s="6">
        <f>IF(C24&lt;&gt;"", G40, "")</f>
        <v>107.88990825688074</v>
      </c>
      <c r="G53" s="59"/>
      <c r="H53" s="6">
        <f t="shared" ref="H53:H61" si="14">IF(C24&lt;&gt;"", F53*G53, "")</f>
        <v>0</v>
      </c>
      <c r="I53" s="6">
        <f t="shared" ref="I53:I61" si="15">IF(C24&lt;&gt;"", F53*G53^2, "")</f>
        <v>0</v>
      </c>
      <c r="J53" s="15"/>
      <c r="L53" s="14"/>
      <c r="Q53" s="1" t="s">
        <v>121</v>
      </c>
      <c r="R53" s="91">
        <f>R54*R57*R58</f>
        <v>1.421138729317778</v>
      </c>
      <c r="W53" s="15"/>
    </row>
    <row r="54" spans="2:23" x14ac:dyDescent="0.25">
      <c r="B54" s="14" t="s">
        <v>27</v>
      </c>
      <c r="C54" s="59">
        <v>1</v>
      </c>
      <c r="E54">
        <v>2</v>
      </c>
      <c r="F54" s="6">
        <f>G41</f>
        <v>107.88990825688074</v>
      </c>
      <c r="G54" s="59"/>
      <c r="H54" s="6">
        <f t="shared" si="14"/>
        <v>0</v>
      </c>
      <c r="I54" s="6">
        <f t="shared" si="15"/>
        <v>0</v>
      </c>
      <c r="J54" s="15"/>
      <c r="L54" s="16" t="s">
        <v>131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123</v>
      </c>
      <c r="R54" s="6">
        <f>IF(R43&lt;=0.2, 2, IF(R43&lt;=0.7, 0.3193*LN(R43)+2.5139, IF(R43&lt;=5, -0.7121*LN(R43)+2.146, IF(R43&lt;=10, -0.1443*LN(R43)+1.2322, 0.9))))</f>
        <v>2.2410877046879225</v>
      </c>
      <c r="W54" s="15"/>
    </row>
    <row r="55" spans="2:23" x14ac:dyDescent="0.25">
      <c r="B55" s="14" t="s">
        <v>42</v>
      </c>
      <c r="C55" s="59">
        <v>4</v>
      </c>
      <c r="E55">
        <v>3</v>
      </c>
      <c r="F55" s="6">
        <f>G42</f>
        <v>107.88990825688074</v>
      </c>
      <c r="G55" s="59"/>
      <c r="H55" s="6">
        <f t="shared" si="14"/>
        <v>0</v>
      </c>
      <c r="I55" s="6">
        <f t="shared" si="15"/>
        <v>0</v>
      </c>
      <c r="J55" s="15"/>
      <c r="L55" s="16" t="s">
        <v>187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127</v>
      </c>
      <c r="R55" s="6">
        <f>MAX(R39,R41)/MIN(R39,R41)</f>
        <v>1.3125</v>
      </c>
      <c r="W55" s="15"/>
    </row>
    <row r="56" spans="2:23" x14ac:dyDescent="0.25">
      <c r="B56" s="14" t="s">
        <v>43</v>
      </c>
      <c r="C56" s="115">
        <v>1.92</v>
      </c>
      <c r="E56">
        <v>4</v>
      </c>
      <c r="F56" s="6">
        <f>IF(C27&lt;&gt;"", G43, "")</f>
        <v>107.88990825688074</v>
      </c>
      <c r="G56" s="59"/>
      <c r="H56" s="6">
        <f t="shared" si="14"/>
        <v>0</v>
      </c>
      <c r="I56" s="6">
        <f t="shared" si="15"/>
        <v>0</v>
      </c>
      <c r="J56" s="15"/>
      <c r="L56" s="48" t="s">
        <v>108</v>
      </c>
      <c r="M56" s="9" t="e">
        <f>PI()^2/(2*M64)*M57*M59</f>
        <v>#DIV/0!</v>
      </c>
      <c r="N56" s="93" t="e">
        <f t="shared" ref="N56" si="17">PI()^2/(2*N64)*N57*N59</f>
        <v>#DIV/0!</v>
      </c>
      <c r="O56" s="9" t="e">
        <f>PI()^2/(2*O64)*O57*O59</f>
        <v>#DIV/0!</v>
      </c>
      <c r="Q56" t="s">
        <v>125</v>
      </c>
      <c r="R56" s="6">
        <f>IF(R39&gt;=50, 1.4*R55, IF(R39&lt;15, 2*R55, (2 - 3/175*(R39-15))*R55))</f>
        <v>2.2537500000000001</v>
      </c>
      <c r="W56" s="15"/>
    </row>
    <row r="57" spans="2:23" x14ac:dyDescent="0.25">
      <c r="B57" s="14" t="s">
        <v>44</v>
      </c>
      <c r="C57" s="115">
        <v>1.1000000000000001</v>
      </c>
      <c r="E57">
        <v>5</v>
      </c>
      <c r="F57" s="6">
        <f t="shared" ref="F57:F58" si="18">G44</f>
        <v>107.88990825688074</v>
      </c>
      <c r="G57" s="59"/>
      <c r="H57" s="6">
        <f t="shared" si="14"/>
        <v>0</v>
      </c>
      <c r="I57" s="6">
        <f t="shared" si="15"/>
        <v>0</v>
      </c>
      <c r="J57" s="15"/>
      <c r="L57" s="48" t="s">
        <v>109</v>
      </c>
      <c r="M57" s="91" t="e">
        <f>6.8*M58/(1+10.2*M58)^(5/3)</f>
        <v>#DIV/0!</v>
      </c>
      <c r="N57" s="83" t="e">
        <f>6.8*N58/(1+10.2*N58)^(5/3)</f>
        <v>#DIV/0!</v>
      </c>
      <c r="O57" s="9" t="e">
        <f>6.8*O58/(1+10.2*O58)^(5/3)</f>
        <v>#DIV/0!</v>
      </c>
      <c r="Q57" s="1" t="s">
        <v>124</v>
      </c>
      <c r="R57" s="91">
        <f>IF(R56&lt;=10, 0.6+0.042*LN(R56), 0.441+0.111*LN(R56))</f>
        <v>0.6341290108124864</v>
      </c>
      <c r="W57" s="15"/>
    </row>
    <row r="58" spans="2:23" x14ac:dyDescent="0.25">
      <c r="B58" s="14" t="s">
        <v>45</v>
      </c>
      <c r="C58" s="115">
        <v>1.5</v>
      </c>
      <c r="E58">
        <v>6</v>
      </c>
      <c r="F58" s="6">
        <f t="shared" si="18"/>
        <v>107.88990825688074</v>
      </c>
      <c r="G58" s="59"/>
      <c r="H58" s="6">
        <f t="shared" si="14"/>
        <v>0</v>
      </c>
      <c r="I58" s="6">
        <f t="shared" si="15"/>
        <v>0</v>
      </c>
      <c r="J58" s="15"/>
      <c r="L58" s="48" t="s">
        <v>118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128</v>
      </c>
      <c r="R58" s="59">
        <v>1</v>
      </c>
      <c r="W58" s="15"/>
    </row>
    <row r="59" spans="2:23" x14ac:dyDescent="0.25">
      <c r="B59" s="14" t="s">
        <v>205</v>
      </c>
      <c r="C59" s="5">
        <f>C56*C57*C58</f>
        <v>3.1680000000000001</v>
      </c>
      <c r="E59">
        <v>7</v>
      </c>
      <c r="F59" s="6">
        <f>IF(C30&lt;&gt;"", G46, "")</f>
        <v>107.88990825688074</v>
      </c>
      <c r="G59" s="59"/>
      <c r="H59" s="6">
        <f t="shared" si="14"/>
        <v>0</v>
      </c>
      <c r="I59" s="6">
        <f t="shared" si="15"/>
        <v>0</v>
      </c>
      <c r="J59" s="15"/>
      <c r="L59" s="48" t="s">
        <v>110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82" t="s">
        <v>132</v>
      </c>
      <c r="R59" s="9">
        <f>IF(R47&lt;M45, $M$49/($M$48*LN($M$45/$M$44)), $M$49/($M$48*LN(R47/$M$44)))</f>
        <v>0.34023304143012839</v>
      </c>
      <c r="W59" s="15"/>
    </row>
    <row r="60" spans="2:23" ht="15.75" thickBot="1" x14ac:dyDescent="0.3">
      <c r="B60" s="14" t="s">
        <v>49</v>
      </c>
      <c r="C60" s="5">
        <f>IF(T&gt;=TC, C59, MIN( 1 + (C59-1)*TC/T, 3*C59))</f>
        <v>3.1680000000000001</v>
      </c>
      <c r="E60">
        <v>8</v>
      </c>
      <c r="F60" s="6">
        <f t="shared" ref="F60:F61" si="20">G47</f>
        <v>107.88990825688074</v>
      </c>
      <c r="G60" s="59"/>
      <c r="H60" s="6">
        <f t="shared" si="14"/>
        <v>0</v>
      </c>
      <c r="I60" s="6">
        <f t="shared" si="15"/>
        <v>0</v>
      </c>
      <c r="J60" s="15"/>
      <c r="L60" s="48" t="s">
        <v>111</v>
      </c>
      <c r="M60" s="59">
        <v>0.5</v>
      </c>
      <c r="N60" s="59">
        <v>0.5</v>
      </c>
      <c r="O60" s="59">
        <v>0.5</v>
      </c>
      <c r="W60" s="15"/>
    </row>
    <row r="61" spans="2:23" x14ac:dyDescent="0.25">
      <c r="B61" s="14" t="s">
        <v>41</v>
      </c>
      <c r="C61" s="5">
        <f>IF(T&lt;=TA, C57*C58, IF(T&lt;=TB, C57*C58 + (C59-C57*C58)*(T-TA)/(TB-TA), C59))</f>
        <v>3.1680000000000001</v>
      </c>
      <c r="E61">
        <v>9</v>
      </c>
      <c r="F61" s="6">
        <f t="shared" si="20"/>
        <v>96.330275229357795</v>
      </c>
      <c r="G61" s="59"/>
      <c r="H61" s="6">
        <f t="shared" si="14"/>
        <v>0</v>
      </c>
      <c r="I61" s="6">
        <f t="shared" si="15"/>
        <v>0</v>
      </c>
      <c r="J61" s="15"/>
      <c r="L61" s="48" t="s">
        <v>112</v>
      </c>
      <c r="M61" s="59">
        <f>3/8</f>
        <v>0.375</v>
      </c>
      <c r="N61" s="59">
        <f>3/8</f>
        <v>0.375</v>
      </c>
      <c r="O61" s="59">
        <f>3/8</f>
        <v>0.375</v>
      </c>
      <c r="Q61" s="64"/>
      <c r="R61" s="29" t="s">
        <v>175</v>
      </c>
      <c r="S61" s="29"/>
      <c r="T61" s="29"/>
      <c r="U61" s="29"/>
      <c r="V61" s="29"/>
      <c r="W61" s="30"/>
    </row>
    <row r="62" spans="2:23" x14ac:dyDescent="0.25">
      <c r="B62" s="14"/>
      <c r="E62" s="75" t="s">
        <v>71</v>
      </c>
      <c r="F62" s="73"/>
      <c r="G62" s="73"/>
      <c r="H62" s="7">
        <f>SUM(H53:H61)</f>
        <v>0</v>
      </c>
      <c r="I62" s="7">
        <f>SUM(I53:I61)</f>
        <v>0</v>
      </c>
      <c r="J62" s="74"/>
      <c r="L62" s="16" t="s">
        <v>113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14"/>
      <c r="R62" s="61" t="s">
        <v>167</v>
      </c>
      <c r="S62" s="60" t="s">
        <v>90</v>
      </c>
      <c r="T62" s="60" t="s">
        <v>93</v>
      </c>
      <c r="U62" s="60" t="s">
        <v>96</v>
      </c>
      <c r="V62" s="60" t="s">
        <v>97</v>
      </c>
      <c r="W62" s="62" t="s">
        <v>168</v>
      </c>
    </row>
    <row r="63" spans="2:23" x14ac:dyDescent="0.25">
      <c r="B63" s="14" t="s">
        <v>9</v>
      </c>
      <c r="C63" s="116">
        <v>0.84119999999999995</v>
      </c>
      <c r="D63" t="s">
        <v>8</v>
      </c>
      <c r="J63" s="15"/>
      <c r="L63" s="16" t="s">
        <v>117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17" t="s">
        <v>169</v>
      </c>
      <c r="R63" s="5">
        <f>R41</f>
        <v>24</v>
      </c>
      <c r="S63" s="5">
        <f>IF(R63&lt;=Loads!$M$45, Loads!$R$37*LN(Loads!$M$45/Loads!$M$44),  Loads!$R$37*LN(R63/Loads!$M$44))</f>
        <v>0.74470959552073313</v>
      </c>
      <c r="T63" s="5">
        <f>S63*Loads!$M$48*Loads!$R$38</f>
        <v>18.617739888018328</v>
      </c>
      <c r="U63" s="5">
        <f>IF(R63&lt;Loads!$M$45, Loads!$M$49/(Loads!$M$48*LN(Loads!$M$45/Loads!$M$44)),Loads!$M$49/(Loads!$M$48*LN(R63/Loads!$M$44)))</f>
        <v>0.31465798044412485</v>
      </c>
      <c r="V63" s="5">
        <f>(1+7*U63)*0.5*Loads!$M$37*T63^2 / 1000</f>
        <v>0.69380500513356425</v>
      </c>
      <c r="W63" s="25">
        <f>V63*Loads!$R$45</f>
        <v>0.5550440041068514</v>
      </c>
    </row>
    <row r="64" spans="2:23" ht="18.75" thickBot="1" x14ac:dyDescent="0.4">
      <c r="B64" s="81" t="s">
        <v>26</v>
      </c>
      <c r="C64" s="9">
        <f>IF(T&lt;TA, C44/C47, IF(T&lt;TB, C44/(TA-TB) * (C54*(T-TA) + (TB-T)/C47), IF(T&lt;TC, C54*C44, IF(T&lt;TD, C54*C45*C53/T, C54*TD*C45*C53/T^2))))</f>
        <v>0</v>
      </c>
      <c r="D64" t="s">
        <v>6</v>
      </c>
      <c r="E64" t="s">
        <v>47</v>
      </c>
      <c r="F64" s="9" t="e">
        <f>2* SQRT(I62/H62)</f>
        <v>#DIV/0!</v>
      </c>
      <c r="G64" t="s">
        <v>8</v>
      </c>
      <c r="J64" s="15"/>
      <c r="L64" s="16" t="s">
        <v>130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63" t="s">
        <v>170</v>
      </c>
      <c r="R64" s="32">
        <f>Loads!$R$39</f>
        <v>31.5</v>
      </c>
      <c r="S64" s="27">
        <f>IF(R64&lt;=Loads!$M$45, Loads!$R$37*LN(Loads!$M$45/Loads!$M$44),  Loads!$R$37*LN(R64/Loads!$M$44))</f>
        <v>0.80843150146595144</v>
      </c>
      <c r="T64" s="27">
        <f>S64*Loads!$M$48*Loads!$R$38</f>
        <v>20.210787536648787</v>
      </c>
      <c r="U64" s="27">
        <f>IF(R64&lt;Loads!$M$45, Loads!$M$49/(Loads!$M$48*LN(Loads!$M$45/Loads!$M$44)),Loads!$M$49/(Loads!$M$48*LN(R64/Loads!$M$44)))</f>
        <v>0.28985611881649831</v>
      </c>
      <c r="V64" s="27">
        <f>(1+7*U64)*0.5*Loads!$M$37*T64^2 / 1000</f>
        <v>0.77329417033479142</v>
      </c>
      <c r="W64" s="28">
        <f>V64*Loads!$R$45</f>
        <v>0.61863533626783318</v>
      </c>
    </row>
    <row r="65" spans="2:23" ht="15.75" thickBot="1" x14ac:dyDescent="0.3">
      <c r="B65" s="81"/>
      <c r="C65" s="9">
        <f>C64*C10</f>
        <v>0</v>
      </c>
      <c r="D65" t="s">
        <v>7</v>
      </c>
      <c r="J65" s="15"/>
      <c r="L65" s="16" t="s">
        <v>120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15"/>
    </row>
    <row r="66" spans="2:23" x14ac:dyDescent="0.25">
      <c r="B66" s="81" t="s">
        <v>46</v>
      </c>
      <c r="C66" s="9">
        <f>MAX(C64/C61, 0.08*C37)</f>
        <v>0</v>
      </c>
      <c r="D66" t="s">
        <v>6</v>
      </c>
      <c r="J66" s="15"/>
      <c r="L66" s="14" t="s">
        <v>189</v>
      </c>
      <c r="M66" s="6">
        <f>SUMPRODUCT(P73:P81,S73:S81)/SUM(S73:S81)*1000</f>
        <v>60607.019335558529</v>
      </c>
      <c r="N66" s="6">
        <f>SUMPRODUCT(P86:P94,S86:S94)/SUM(S86:S94)*1000</f>
        <v>57062.273538176822</v>
      </c>
      <c r="O66" s="6" t="e">
        <f>SUMPRODUCT(P99:P107,T99:T107)/SUM(T99:T107)*1000</f>
        <v>#DIV/0!</v>
      </c>
      <c r="Q66" s="64"/>
      <c r="R66" s="29" t="s">
        <v>176</v>
      </c>
      <c r="S66" s="29"/>
      <c r="T66" s="29"/>
      <c r="U66" s="29"/>
      <c r="V66" s="29"/>
      <c r="W66" s="30"/>
    </row>
    <row r="67" spans="2:23" x14ac:dyDescent="0.25">
      <c r="B67" s="81"/>
      <c r="C67" s="9">
        <f>C66*C10</f>
        <v>0</v>
      </c>
      <c r="D67" t="s">
        <v>7</v>
      </c>
      <c r="J67" s="15"/>
      <c r="L67" s="48" t="s">
        <v>188</v>
      </c>
      <c r="M67" s="94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14"/>
      <c r="R67" s="61" t="s">
        <v>167</v>
      </c>
      <c r="S67" s="60" t="s">
        <v>90</v>
      </c>
      <c r="T67" s="60" t="s">
        <v>93</v>
      </c>
      <c r="U67" s="60" t="s">
        <v>96</v>
      </c>
      <c r="V67" s="60" t="s">
        <v>97</v>
      </c>
      <c r="W67" s="62" t="s">
        <v>168</v>
      </c>
    </row>
    <row r="68" spans="2:23" ht="15.75" thickBot="1" x14ac:dyDescent="0.3">
      <c r="B68" s="14"/>
      <c r="J68" s="15"/>
      <c r="L68" s="14"/>
      <c r="N68" s="6"/>
      <c r="Q68" s="63" t="s">
        <v>170</v>
      </c>
      <c r="R68" s="27">
        <f>R64</f>
        <v>31.5</v>
      </c>
      <c r="S68" s="27">
        <f>IF(R68&lt;=Loads!$M$45, Loads!$R$37*LN(Loads!$M$45/Loads!$M$44),  Loads!$R$37*LN(R68/Loads!$M$44))</f>
        <v>0.80843150146595144</v>
      </c>
      <c r="T68" s="27">
        <f>S68*Loads!$M$48*Loads!$R$38</f>
        <v>20.210787536648787</v>
      </c>
      <c r="U68" s="27">
        <f>IF(R68&lt;Loads!$M$45, Loads!$M$49/(Loads!$M$48*LN(Loads!$M$45/Loads!$M$44)),Loads!$M$49/(Loads!$M$48*LN(R68/Loads!$M$44)))</f>
        <v>0.28985611881649831</v>
      </c>
      <c r="V68" s="27">
        <f>(1+7*U68)*0.5*Loads!$M$37*T68^2 / 1000</f>
        <v>0.77329417033479142</v>
      </c>
      <c r="W68" s="28">
        <f>V68*Loads!$R$46</f>
        <v>-0.40597943942576542</v>
      </c>
    </row>
    <row r="69" spans="2:23" x14ac:dyDescent="0.25">
      <c r="B69" s="14" t="s">
        <v>29</v>
      </c>
      <c r="C69" s="5">
        <f>IF(AND(T&lt;MIN(2*TC, 1.2),C8 &gt; 2), 0.85, 1)</f>
        <v>1</v>
      </c>
      <c r="J69" s="15"/>
      <c r="L69" s="14"/>
      <c r="N69" s="9"/>
      <c r="W69" s="15"/>
    </row>
    <row r="70" spans="2:23" ht="15.75" thickBot="1" x14ac:dyDescent="0.3">
      <c r="B70" s="18" t="s">
        <v>28</v>
      </c>
      <c r="C70" s="32">
        <f>C69*C66*F49</f>
        <v>0</v>
      </c>
      <c r="D70" s="19" t="s">
        <v>31</v>
      </c>
      <c r="E70" s="19"/>
      <c r="F70" s="19"/>
      <c r="G70" s="19"/>
      <c r="H70" s="19"/>
      <c r="I70" s="19"/>
      <c r="J70" s="20"/>
      <c r="L70" s="14"/>
      <c r="W70" s="15"/>
    </row>
    <row r="71" spans="2:23" x14ac:dyDescent="0.25">
      <c r="L71" s="89" t="s">
        <v>202</v>
      </c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15"/>
    </row>
    <row r="72" spans="2:23" x14ac:dyDescent="0.25">
      <c r="L72" s="17" t="s">
        <v>3</v>
      </c>
      <c r="M72" s="2" t="s">
        <v>203</v>
      </c>
      <c r="N72" s="2" t="s">
        <v>35</v>
      </c>
      <c r="O72" s="2" t="s">
        <v>133</v>
      </c>
      <c r="P72" s="2" t="s">
        <v>134</v>
      </c>
      <c r="Q72" s="2" t="s">
        <v>37</v>
      </c>
      <c r="R72" s="2" t="s">
        <v>56</v>
      </c>
      <c r="S72" s="2" t="s">
        <v>135</v>
      </c>
      <c r="T72" s="2" t="s">
        <v>129</v>
      </c>
      <c r="U72" s="2" t="s">
        <v>39</v>
      </c>
      <c r="V72" s="2" t="s">
        <v>40</v>
      </c>
      <c r="W72" s="15"/>
    </row>
    <row r="73" spans="2:23" x14ac:dyDescent="0.25">
      <c r="L73" s="14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100"/>
      <c r="R73" s="66">
        <v>0.111</v>
      </c>
      <c r="S73" s="5">
        <f t="shared" ref="S73:S81" si="27">IF(C24&lt;&gt;"", R73^2, "")</f>
        <v>1.2321E-2</v>
      </c>
      <c r="T73" s="83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15"/>
    </row>
    <row r="74" spans="2:23" x14ac:dyDescent="0.25">
      <c r="L74" s="14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100"/>
      <c r="R74" s="66">
        <v>0.222</v>
      </c>
      <c r="S74" s="5">
        <f t="shared" si="27"/>
        <v>4.9284000000000001E-2</v>
      </c>
      <c r="T74" s="83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15"/>
    </row>
    <row r="75" spans="2:23" x14ac:dyDescent="0.25">
      <c r="L75" s="14">
        <v>3</v>
      </c>
      <c r="M75" s="5">
        <f t="shared" si="29"/>
        <v>1842.75</v>
      </c>
      <c r="N75" s="6">
        <f t="shared" si="24"/>
        <v>187.8440366972477</v>
      </c>
      <c r="O75" s="5">
        <f t="shared" si="25"/>
        <v>3.5</v>
      </c>
      <c r="P75" s="6">
        <f t="shared" si="26"/>
        <v>53.669724770642198</v>
      </c>
      <c r="Q75" s="100"/>
      <c r="R75" s="66">
        <v>0.33329999999999999</v>
      </c>
      <c r="S75" s="5">
        <f t="shared" si="27"/>
        <v>0.11108889</v>
      </c>
      <c r="T75" s="83">
        <f t="shared" si="30"/>
        <v>0</v>
      </c>
      <c r="U75" s="6">
        <f t="shared" si="28"/>
        <v>0</v>
      </c>
      <c r="V75" s="6">
        <f t="shared" si="31"/>
        <v>0</v>
      </c>
      <c r="W75" s="15"/>
    </row>
    <row r="76" spans="2:23" x14ac:dyDescent="0.25">
      <c r="L76" s="14">
        <v>4</v>
      </c>
      <c r="M76" s="5">
        <f t="shared" si="29"/>
        <v>1842.75</v>
      </c>
      <c r="N76" s="6">
        <f t="shared" si="24"/>
        <v>187.8440366972477</v>
      </c>
      <c r="O76" s="5">
        <f t="shared" si="25"/>
        <v>3.5</v>
      </c>
      <c r="P76" s="6">
        <f t="shared" si="26"/>
        <v>53.669724770642198</v>
      </c>
      <c r="Q76" s="100"/>
      <c r="R76" s="66">
        <v>0.44400000000000001</v>
      </c>
      <c r="S76" s="5">
        <f t="shared" si="27"/>
        <v>0.19713600000000001</v>
      </c>
      <c r="T76" s="83">
        <f t="shared" si="30"/>
        <v>0</v>
      </c>
      <c r="U76" s="6">
        <f t="shared" si="28"/>
        <v>0</v>
      </c>
      <c r="V76" s="6">
        <f t="shared" si="31"/>
        <v>0</v>
      </c>
      <c r="W76" s="15"/>
    </row>
    <row r="77" spans="2:23" x14ac:dyDescent="0.25">
      <c r="L77" s="14">
        <v>5</v>
      </c>
      <c r="M77" s="5">
        <f t="shared" si="29"/>
        <v>1842.75</v>
      </c>
      <c r="N77" s="6">
        <f t="shared" si="24"/>
        <v>187.8440366972477</v>
      </c>
      <c r="O77" s="5">
        <f t="shared" si="25"/>
        <v>3.5</v>
      </c>
      <c r="P77" s="6">
        <f t="shared" si="26"/>
        <v>53.669724770642198</v>
      </c>
      <c r="Q77" s="100"/>
      <c r="R77" s="66">
        <v>0.55500000000000005</v>
      </c>
      <c r="S77" s="5">
        <f t="shared" si="27"/>
        <v>0.30802500000000005</v>
      </c>
      <c r="T77" s="83">
        <f t="shared" si="30"/>
        <v>0</v>
      </c>
      <c r="U77" s="6">
        <f t="shared" si="28"/>
        <v>0</v>
      </c>
      <c r="V77" s="6">
        <f t="shared" si="31"/>
        <v>0</v>
      </c>
      <c r="W77" s="15"/>
    </row>
    <row r="78" spans="2:23" x14ac:dyDescent="0.25">
      <c r="L78" s="14">
        <v>6</v>
      </c>
      <c r="M78" s="5">
        <f t="shared" si="29"/>
        <v>1842.75</v>
      </c>
      <c r="N78" s="6">
        <f t="shared" si="24"/>
        <v>187.8440366972477</v>
      </c>
      <c r="O78" s="5">
        <f t="shared" si="25"/>
        <v>3.5</v>
      </c>
      <c r="P78" s="6">
        <f t="shared" si="26"/>
        <v>53.669724770642198</v>
      </c>
      <c r="Q78" s="100"/>
      <c r="R78" s="66">
        <v>0.66600000000000004</v>
      </c>
      <c r="S78" s="5">
        <f t="shared" si="27"/>
        <v>0.44355600000000006</v>
      </c>
      <c r="T78" s="83">
        <f t="shared" si="30"/>
        <v>0</v>
      </c>
      <c r="U78" s="6">
        <f t="shared" si="28"/>
        <v>0</v>
      </c>
      <c r="V78" s="6">
        <f t="shared" si="31"/>
        <v>0</v>
      </c>
      <c r="W78" s="15"/>
    </row>
    <row r="79" spans="2:23" x14ac:dyDescent="0.25">
      <c r="L79" s="14">
        <v>7</v>
      </c>
      <c r="M79" s="5">
        <f t="shared" si="29"/>
        <v>1842.75</v>
      </c>
      <c r="N79" s="6">
        <f t="shared" si="24"/>
        <v>187.8440366972477</v>
      </c>
      <c r="O79" s="5">
        <f t="shared" si="25"/>
        <v>3.5</v>
      </c>
      <c r="P79" s="6">
        <f t="shared" si="26"/>
        <v>53.669724770642198</v>
      </c>
      <c r="Q79" s="100"/>
      <c r="R79" s="59">
        <v>0.77700000000000002</v>
      </c>
      <c r="S79" s="5">
        <f t="shared" si="27"/>
        <v>0.60372900000000007</v>
      </c>
      <c r="T79" s="83">
        <f t="shared" si="30"/>
        <v>0</v>
      </c>
      <c r="U79" s="6">
        <f t="shared" si="28"/>
        <v>0</v>
      </c>
      <c r="V79" s="6">
        <f t="shared" si="31"/>
        <v>0</v>
      </c>
      <c r="W79" s="15"/>
    </row>
    <row r="80" spans="2:23" x14ac:dyDescent="0.25">
      <c r="L80" s="14">
        <v>8</v>
      </c>
      <c r="M80" s="5">
        <f t="shared" si="29"/>
        <v>1842.75</v>
      </c>
      <c r="N80" s="6">
        <f t="shared" si="24"/>
        <v>187.8440366972477</v>
      </c>
      <c r="O80" s="5">
        <f t="shared" si="25"/>
        <v>3.5</v>
      </c>
      <c r="P80" s="6">
        <f t="shared" si="26"/>
        <v>53.669724770642198</v>
      </c>
      <c r="Q80" s="100"/>
      <c r="R80" s="59">
        <v>0.88880000000000003</v>
      </c>
      <c r="S80" s="5">
        <f t="shared" si="27"/>
        <v>0.78996544000000002</v>
      </c>
      <c r="T80" s="83">
        <f t="shared" si="30"/>
        <v>0</v>
      </c>
      <c r="U80" s="6">
        <f t="shared" si="28"/>
        <v>0</v>
      </c>
      <c r="V80" s="6">
        <f t="shared" si="31"/>
        <v>0</v>
      </c>
      <c r="W80" s="15"/>
    </row>
    <row r="81" spans="12:23" x14ac:dyDescent="0.25">
      <c r="L81" s="14">
        <v>9</v>
      </c>
      <c r="M81" s="5">
        <f t="shared" si="29"/>
        <v>1340.01</v>
      </c>
      <c r="N81" s="6">
        <f t="shared" si="24"/>
        <v>136.59633027522935</v>
      </c>
      <c r="O81" s="5">
        <f>IF(C32&lt;&gt;"", (F32+F34)/2, "")</f>
        <v>1.75</v>
      </c>
      <c r="P81" s="6">
        <f t="shared" si="26"/>
        <v>78.055045871559628</v>
      </c>
      <c r="Q81" s="100"/>
      <c r="R81" s="59">
        <v>1</v>
      </c>
      <c r="S81" s="5">
        <f t="shared" si="27"/>
        <v>1</v>
      </c>
      <c r="T81" s="83">
        <f t="shared" si="30"/>
        <v>0</v>
      </c>
      <c r="U81" s="6">
        <f t="shared" si="28"/>
        <v>0</v>
      </c>
      <c r="V81" s="6">
        <f t="shared" si="31"/>
        <v>0</v>
      </c>
      <c r="W81" s="15"/>
    </row>
    <row r="82" spans="12:23" x14ac:dyDescent="0.25">
      <c r="L82" s="76"/>
      <c r="M82" s="73"/>
      <c r="N82" s="73"/>
      <c r="O82" s="73"/>
      <c r="P82" s="73"/>
      <c r="Q82" s="77"/>
      <c r="R82" s="73"/>
      <c r="S82" s="73"/>
      <c r="T82" s="73"/>
      <c r="U82" s="7">
        <f>SUM(U73:U81)</f>
        <v>0</v>
      </c>
      <c r="V82" s="7">
        <f>SUM(V73:V81)</f>
        <v>0</v>
      </c>
      <c r="W82" s="15"/>
    </row>
    <row r="83" spans="12:23" x14ac:dyDescent="0.25">
      <c r="L83" s="14"/>
      <c r="Q83" s="6"/>
      <c r="W83" s="15"/>
    </row>
    <row r="84" spans="12:23" x14ac:dyDescent="0.25">
      <c r="L84" s="89" t="s">
        <v>215</v>
      </c>
      <c r="M84" s="68"/>
      <c r="N84" s="68"/>
      <c r="O84" s="68"/>
      <c r="P84" s="68"/>
      <c r="Q84" s="90"/>
      <c r="R84" s="68"/>
      <c r="S84" s="68"/>
      <c r="T84" s="68"/>
      <c r="U84" s="68"/>
      <c r="V84" s="68"/>
      <c r="W84" s="15"/>
    </row>
    <row r="85" spans="12:23" x14ac:dyDescent="0.25">
      <c r="L85" s="17" t="s">
        <v>3</v>
      </c>
      <c r="M85" s="2" t="s">
        <v>203</v>
      </c>
      <c r="N85" s="2" t="s">
        <v>35</v>
      </c>
      <c r="O85" s="2" t="s">
        <v>133</v>
      </c>
      <c r="P85" s="2" t="s">
        <v>134</v>
      </c>
      <c r="Q85" s="2" t="s">
        <v>37</v>
      </c>
      <c r="R85" s="2" t="s">
        <v>56</v>
      </c>
      <c r="S85" s="2" t="s">
        <v>135</v>
      </c>
      <c r="T85" s="2" t="s">
        <v>129</v>
      </c>
      <c r="U85" s="2" t="s">
        <v>39</v>
      </c>
      <c r="V85" s="2" t="s">
        <v>40</v>
      </c>
      <c r="W85" s="15"/>
    </row>
    <row r="86" spans="12:23" x14ac:dyDescent="0.25">
      <c r="L86" s="14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100"/>
      <c r="R86" s="66">
        <v>0.111</v>
      </c>
      <c r="S86" s="5">
        <f t="shared" ref="S86:S94" si="36">IF(C24&lt;&gt;"", R86^2, "")</f>
        <v>1.2321E-2</v>
      </c>
      <c r="T86" s="83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15"/>
    </row>
    <row r="87" spans="12:23" x14ac:dyDescent="0.25">
      <c r="L87" s="14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100"/>
      <c r="R87" s="66">
        <v>0.222</v>
      </c>
      <c r="S87" s="5">
        <f t="shared" si="36"/>
        <v>4.9284000000000001E-2</v>
      </c>
      <c r="T87" s="83">
        <f t="shared" si="37"/>
        <v>0</v>
      </c>
      <c r="U87" s="6">
        <f t="shared" si="38"/>
        <v>0</v>
      </c>
      <c r="V87" s="6">
        <f t="shared" si="39"/>
        <v>0</v>
      </c>
      <c r="W87" s="15"/>
    </row>
    <row r="88" spans="12:23" x14ac:dyDescent="0.25">
      <c r="L88" s="14">
        <v>3</v>
      </c>
      <c r="M88" s="5">
        <f t="shared" si="32"/>
        <v>1672.6499999999999</v>
      </c>
      <c r="N88" s="6">
        <f t="shared" si="33"/>
        <v>170.50458715596329</v>
      </c>
      <c r="O88" s="5">
        <f t="shared" si="34"/>
        <v>3.5</v>
      </c>
      <c r="P88" s="6">
        <f t="shared" si="35"/>
        <v>48.715596330275226</v>
      </c>
      <c r="Q88" s="100"/>
      <c r="R88" s="66">
        <v>0.33329999999999999</v>
      </c>
      <c r="S88" s="5">
        <f t="shared" si="36"/>
        <v>0.11108889</v>
      </c>
      <c r="T88" s="83">
        <f t="shared" si="37"/>
        <v>0</v>
      </c>
      <c r="U88" s="6">
        <f t="shared" si="38"/>
        <v>0</v>
      </c>
      <c r="V88" s="6">
        <f t="shared" si="39"/>
        <v>0</v>
      </c>
      <c r="W88" s="15"/>
    </row>
    <row r="89" spans="12:23" x14ac:dyDescent="0.25">
      <c r="L89" s="14">
        <v>4</v>
      </c>
      <c r="M89" s="5">
        <f t="shared" si="32"/>
        <v>1672.6499999999999</v>
      </c>
      <c r="N89" s="6">
        <f t="shared" si="33"/>
        <v>170.50458715596329</v>
      </c>
      <c r="O89" s="5">
        <f t="shared" si="34"/>
        <v>3.5</v>
      </c>
      <c r="P89" s="6">
        <f t="shared" si="35"/>
        <v>48.715596330275226</v>
      </c>
      <c r="Q89" s="100"/>
      <c r="R89" s="66">
        <v>0.44400000000000001</v>
      </c>
      <c r="S89" s="5">
        <f t="shared" si="36"/>
        <v>0.19713600000000001</v>
      </c>
      <c r="T89" s="83">
        <f t="shared" si="37"/>
        <v>0</v>
      </c>
      <c r="U89" s="6">
        <f t="shared" si="38"/>
        <v>0</v>
      </c>
      <c r="V89" s="6">
        <f t="shared" si="39"/>
        <v>0</v>
      </c>
      <c r="W89" s="15"/>
    </row>
    <row r="90" spans="12:23" x14ac:dyDescent="0.25">
      <c r="L90" s="14">
        <v>5</v>
      </c>
      <c r="M90" s="5">
        <f t="shared" si="32"/>
        <v>1672.6499999999999</v>
      </c>
      <c r="N90" s="6">
        <f t="shared" si="33"/>
        <v>170.50458715596329</v>
      </c>
      <c r="O90" s="5">
        <f t="shared" si="34"/>
        <v>3.5</v>
      </c>
      <c r="P90" s="6">
        <f t="shared" si="35"/>
        <v>48.715596330275226</v>
      </c>
      <c r="Q90" s="100"/>
      <c r="R90" s="66">
        <v>0.55500000000000005</v>
      </c>
      <c r="S90" s="5">
        <f t="shared" si="36"/>
        <v>0.30802500000000005</v>
      </c>
      <c r="T90" s="83">
        <f t="shared" si="37"/>
        <v>0</v>
      </c>
      <c r="U90" s="6">
        <f t="shared" si="38"/>
        <v>0</v>
      </c>
      <c r="V90" s="6">
        <f t="shared" si="39"/>
        <v>0</v>
      </c>
      <c r="W90" s="15"/>
    </row>
    <row r="91" spans="12:23" x14ac:dyDescent="0.25">
      <c r="L91" s="14">
        <v>6</v>
      </c>
      <c r="M91" s="5">
        <f t="shared" si="32"/>
        <v>1672.6499999999999</v>
      </c>
      <c r="N91" s="6">
        <f t="shared" si="33"/>
        <v>170.50458715596329</v>
      </c>
      <c r="O91" s="5">
        <f t="shared" si="34"/>
        <v>3.5</v>
      </c>
      <c r="P91" s="6">
        <f t="shared" si="35"/>
        <v>48.715596330275226</v>
      </c>
      <c r="Q91" s="100"/>
      <c r="R91" s="66">
        <v>0.66600000000000004</v>
      </c>
      <c r="S91" s="5">
        <f t="shared" si="36"/>
        <v>0.44355600000000006</v>
      </c>
      <c r="T91" s="83">
        <f t="shared" si="37"/>
        <v>0</v>
      </c>
      <c r="U91" s="6">
        <f t="shared" si="38"/>
        <v>0</v>
      </c>
      <c r="V91" s="6">
        <f t="shared" si="39"/>
        <v>0</v>
      </c>
      <c r="W91" s="15"/>
    </row>
    <row r="92" spans="12:23" x14ac:dyDescent="0.25">
      <c r="L92" s="14">
        <v>7</v>
      </c>
      <c r="M92" s="5">
        <f t="shared" si="32"/>
        <v>1672.6499999999999</v>
      </c>
      <c r="N92" s="6">
        <f t="shared" si="33"/>
        <v>170.50458715596329</v>
      </c>
      <c r="O92" s="5">
        <f t="shared" si="34"/>
        <v>3.5</v>
      </c>
      <c r="P92" s="6">
        <f t="shared" si="35"/>
        <v>48.715596330275226</v>
      </c>
      <c r="Q92" s="100"/>
      <c r="R92" s="59">
        <v>0.77700000000000002</v>
      </c>
      <c r="S92" s="5">
        <f t="shared" si="36"/>
        <v>0.60372900000000007</v>
      </c>
      <c r="T92" s="83">
        <f t="shared" si="37"/>
        <v>0</v>
      </c>
      <c r="U92" s="6">
        <f t="shared" si="38"/>
        <v>0</v>
      </c>
      <c r="V92" s="6">
        <f t="shared" si="39"/>
        <v>0</v>
      </c>
      <c r="W92" s="15"/>
    </row>
    <row r="93" spans="12:23" x14ac:dyDescent="0.25">
      <c r="L93" s="14">
        <v>8</v>
      </c>
      <c r="M93" s="5">
        <f t="shared" si="32"/>
        <v>1672.6499999999999</v>
      </c>
      <c r="N93" s="6">
        <f t="shared" si="33"/>
        <v>170.50458715596329</v>
      </c>
      <c r="O93" s="5">
        <f t="shared" si="34"/>
        <v>3.5</v>
      </c>
      <c r="P93" s="6">
        <f t="shared" si="35"/>
        <v>48.715596330275226</v>
      </c>
      <c r="Q93" s="100"/>
      <c r="R93" s="59">
        <v>0.88880000000000003</v>
      </c>
      <c r="S93" s="5">
        <f t="shared" si="36"/>
        <v>0.78996544000000002</v>
      </c>
      <c r="T93" s="83">
        <f t="shared" si="37"/>
        <v>0</v>
      </c>
      <c r="U93" s="6">
        <f t="shared" si="38"/>
        <v>0</v>
      </c>
      <c r="V93" s="6">
        <f t="shared" si="39"/>
        <v>0</v>
      </c>
      <c r="W93" s="15"/>
    </row>
    <row r="94" spans="12:23" x14ac:dyDescent="0.25">
      <c r="L94" s="14">
        <v>9</v>
      </c>
      <c r="M94" s="5">
        <f t="shared" si="32"/>
        <v>1340.01</v>
      </c>
      <c r="N94" s="6">
        <f t="shared" si="33"/>
        <v>136.59633027522935</v>
      </c>
      <c r="O94" s="5">
        <f t="shared" si="34"/>
        <v>1.75</v>
      </c>
      <c r="P94" s="6">
        <f t="shared" si="35"/>
        <v>78.055045871559628</v>
      </c>
      <c r="Q94" s="100"/>
      <c r="R94" s="59">
        <v>1</v>
      </c>
      <c r="S94" s="5">
        <f t="shared" si="36"/>
        <v>1</v>
      </c>
      <c r="T94" s="83">
        <f t="shared" si="37"/>
        <v>0</v>
      </c>
      <c r="U94" s="6">
        <f t="shared" si="38"/>
        <v>0</v>
      </c>
      <c r="V94" s="6">
        <f t="shared" si="39"/>
        <v>0</v>
      </c>
      <c r="W94" s="15"/>
    </row>
    <row r="95" spans="12:23" x14ac:dyDescent="0.25">
      <c r="L95" s="76"/>
      <c r="M95" s="73"/>
      <c r="N95" s="73"/>
      <c r="O95" s="73"/>
      <c r="P95" s="73"/>
      <c r="Q95" s="73"/>
      <c r="R95" s="73"/>
      <c r="S95" s="73"/>
      <c r="T95" s="73"/>
      <c r="U95" s="7">
        <f>SUM(U86:U94)</f>
        <v>0</v>
      </c>
      <c r="V95" s="7">
        <f>SUM(V86:V94)</f>
        <v>0</v>
      </c>
      <c r="W95" s="15"/>
    </row>
    <row r="96" spans="12:23" x14ac:dyDescent="0.25">
      <c r="L96" s="14"/>
      <c r="W96" s="15"/>
    </row>
    <row r="97" spans="12:23" x14ac:dyDescent="0.25">
      <c r="L97" s="89" t="s">
        <v>214</v>
      </c>
      <c r="M97" s="68"/>
      <c r="N97" s="68"/>
      <c r="O97" s="68"/>
      <c r="P97" s="68"/>
      <c r="Q97" s="90"/>
      <c r="R97" s="68"/>
      <c r="S97" s="68"/>
      <c r="T97" s="68"/>
      <c r="U97" s="68"/>
      <c r="V97" s="68"/>
      <c r="W97" s="15"/>
    </row>
    <row r="98" spans="12:23" x14ac:dyDescent="0.25">
      <c r="L98" s="17" t="s">
        <v>3</v>
      </c>
      <c r="M98" s="2" t="s">
        <v>203</v>
      </c>
      <c r="N98" s="2" t="s">
        <v>35</v>
      </c>
      <c r="O98" s="2" t="s">
        <v>133</v>
      </c>
      <c r="P98" s="2" t="s">
        <v>134</v>
      </c>
      <c r="Q98" s="2" t="s">
        <v>37</v>
      </c>
      <c r="R98" s="2" t="s">
        <v>56</v>
      </c>
      <c r="S98" s="2" t="s">
        <v>135</v>
      </c>
      <c r="T98" s="2" t="s">
        <v>129</v>
      </c>
      <c r="U98" s="2" t="s">
        <v>39</v>
      </c>
      <c r="V98" s="2" t="s">
        <v>40</v>
      </c>
      <c r="W98" s="15"/>
    </row>
    <row r="99" spans="12:23" x14ac:dyDescent="0.25">
      <c r="L99" s="14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100"/>
      <c r="R99" s="66">
        <v>0.111</v>
      </c>
      <c r="S99" s="5">
        <f t="shared" ref="S99:S107" si="43">IF(C24&lt;&gt;"", R99^2, "")</f>
        <v>1.2321E-2</v>
      </c>
      <c r="T99" s="83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15"/>
    </row>
    <row r="100" spans="12:23" x14ac:dyDescent="0.25">
      <c r="L100" s="14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100"/>
      <c r="R100" s="66">
        <v>0.222</v>
      </c>
      <c r="S100" s="5">
        <f t="shared" si="43"/>
        <v>4.9284000000000001E-2</v>
      </c>
      <c r="T100" s="83">
        <f t="shared" si="44"/>
        <v>0</v>
      </c>
      <c r="U100" s="6">
        <f t="shared" si="45"/>
        <v>0</v>
      </c>
      <c r="V100" s="6">
        <f t="shared" si="46"/>
        <v>0</v>
      </c>
      <c r="W100" s="15"/>
    </row>
    <row r="101" spans="12:23" x14ac:dyDescent="0.25">
      <c r="L101" s="14">
        <v>3</v>
      </c>
      <c r="M101" s="5">
        <f t="shared" si="47"/>
        <v>1672.6499999999999</v>
      </c>
      <c r="N101" s="6">
        <f t="shared" si="40"/>
        <v>170.50458715596329</v>
      </c>
      <c r="O101" s="5">
        <f t="shared" si="41"/>
        <v>3.5</v>
      </c>
      <c r="P101" s="6">
        <f t="shared" si="42"/>
        <v>48.715596330275226</v>
      </c>
      <c r="Q101" s="100"/>
      <c r="R101" s="66">
        <v>0.33329999999999999</v>
      </c>
      <c r="S101" s="5">
        <f t="shared" si="43"/>
        <v>0.11108889</v>
      </c>
      <c r="T101" s="83">
        <f t="shared" si="44"/>
        <v>0</v>
      </c>
      <c r="U101" s="6">
        <f t="shared" si="45"/>
        <v>0</v>
      </c>
      <c r="V101" s="6">
        <f t="shared" si="46"/>
        <v>0</v>
      </c>
      <c r="W101" s="15"/>
    </row>
    <row r="102" spans="12:23" x14ac:dyDescent="0.25">
      <c r="L102" s="14">
        <v>4</v>
      </c>
      <c r="M102" s="5">
        <f t="shared" si="47"/>
        <v>1672.6499999999999</v>
      </c>
      <c r="N102" s="6">
        <f t="shared" si="40"/>
        <v>170.50458715596329</v>
      </c>
      <c r="O102" s="5">
        <f t="shared" si="41"/>
        <v>3.5</v>
      </c>
      <c r="P102" s="6">
        <f t="shared" si="42"/>
        <v>48.715596330275226</v>
      </c>
      <c r="Q102" s="100"/>
      <c r="R102" s="66">
        <v>0.44400000000000001</v>
      </c>
      <c r="S102" s="5">
        <f t="shared" si="43"/>
        <v>0.19713600000000001</v>
      </c>
      <c r="T102" s="83">
        <f t="shared" si="44"/>
        <v>0</v>
      </c>
      <c r="U102" s="6">
        <f t="shared" si="45"/>
        <v>0</v>
      </c>
      <c r="V102" s="6">
        <f t="shared" si="46"/>
        <v>0</v>
      </c>
      <c r="W102" s="15"/>
    </row>
    <row r="103" spans="12:23" x14ac:dyDescent="0.25">
      <c r="L103" s="14">
        <v>5</v>
      </c>
      <c r="M103" s="5">
        <f t="shared" si="47"/>
        <v>1672.6499999999999</v>
      </c>
      <c r="N103" s="6">
        <f t="shared" si="40"/>
        <v>170.50458715596329</v>
      </c>
      <c r="O103" s="5">
        <f t="shared" si="41"/>
        <v>3.5</v>
      </c>
      <c r="P103" s="6">
        <f t="shared" si="42"/>
        <v>48.715596330275226</v>
      </c>
      <c r="Q103" s="100"/>
      <c r="R103" s="66">
        <v>0.55500000000000005</v>
      </c>
      <c r="S103" s="5">
        <f t="shared" si="43"/>
        <v>0.30802500000000005</v>
      </c>
      <c r="T103" s="83">
        <f t="shared" si="44"/>
        <v>0</v>
      </c>
      <c r="U103" s="6">
        <f t="shared" si="45"/>
        <v>0</v>
      </c>
      <c r="V103" s="6">
        <f t="shared" si="46"/>
        <v>0</v>
      </c>
      <c r="W103" s="15"/>
    </row>
    <row r="104" spans="12:23" x14ac:dyDescent="0.25">
      <c r="L104" s="14">
        <v>6</v>
      </c>
      <c r="M104" s="5">
        <f t="shared" si="47"/>
        <v>1672.6499999999999</v>
      </c>
      <c r="N104" s="6">
        <f t="shared" si="40"/>
        <v>170.50458715596329</v>
      </c>
      <c r="O104" s="5">
        <f t="shared" si="41"/>
        <v>3.5</v>
      </c>
      <c r="P104" s="6">
        <f t="shared" si="42"/>
        <v>48.715596330275226</v>
      </c>
      <c r="Q104" s="100"/>
      <c r="R104" s="66">
        <v>0.66600000000000004</v>
      </c>
      <c r="S104" s="5">
        <f t="shared" si="43"/>
        <v>0.44355600000000006</v>
      </c>
      <c r="T104" s="83">
        <f t="shared" si="44"/>
        <v>0</v>
      </c>
      <c r="U104" s="6">
        <f t="shared" si="45"/>
        <v>0</v>
      </c>
      <c r="V104" s="6">
        <f t="shared" si="46"/>
        <v>0</v>
      </c>
      <c r="W104" s="15"/>
    </row>
    <row r="105" spans="12:23" x14ac:dyDescent="0.25">
      <c r="L105" s="14">
        <v>7</v>
      </c>
      <c r="M105" s="5">
        <f t="shared" si="47"/>
        <v>1672.6499999999999</v>
      </c>
      <c r="N105" s="6">
        <f t="shared" si="40"/>
        <v>170.50458715596329</v>
      </c>
      <c r="O105" s="5">
        <f t="shared" si="41"/>
        <v>3.5</v>
      </c>
      <c r="P105" s="6">
        <f t="shared" si="42"/>
        <v>48.715596330275226</v>
      </c>
      <c r="Q105" s="100"/>
      <c r="R105" s="59">
        <v>0.77700000000000002</v>
      </c>
      <c r="S105" s="5">
        <f t="shared" si="43"/>
        <v>0.60372900000000007</v>
      </c>
      <c r="T105" s="83">
        <f t="shared" si="44"/>
        <v>0</v>
      </c>
      <c r="U105" s="6">
        <f t="shared" si="45"/>
        <v>0</v>
      </c>
      <c r="V105" s="6">
        <f t="shared" si="46"/>
        <v>0</v>
      </c>
      <c r="W105" s="15"/>
    </row>
    <row r="106" spans="12:23" x14ac:dyDescent="0.25">
      <c r="L106" s="14">
        <v>8</v>
      </c>
      <c r="M106" s="5">
        <f t="shared" si="47"/>
        <v>1672.6499999999999</v>
      </c>
      <c r="N106" s="6">
        <f t="shared" si="40"/>
        <v>170.50458715596329</v>
      </c>
      <c r="O106" s="5">
        <f t="shared" si="41"/>
        <v>3.5</v>
      </c>
      <c r="P106" s="6">
        <f t="shared" si="42"/>
        <v>48.715596330275226</v>
      </c>
      <c r="Q106" s="100"/>
      <c r="R106" s="59">
        <v>0.88880000000000003</v>
      </c>
      <c r="S106" s="5">
        <f t="shared" si="43"/>
        <v>0.78996544000000002</v>
      </c>
      <c r="T106" s="83">
        <f t="shared" si="44"/>
        <v>0</v>
      </c>
      <c r="U106" s="6">
        <f t="shared" si="45"/>
        <v>0</v>
      </c>
      <c r="V106" s="6">
        <f t="shared" si="46"/>
        <v>0</v>
      </c>
      <c r="W106" s="15"/>
    </row>
    <row r="107" spans="12:23" x14ac:dyDescent="0.25">
      <c r="L107" s="14">
        <v>9</v>
      </c>
      <c r="M107" s="5">
        <f t="shared" si="47"/>
        <v>1404.27</v>
      </c>
      <c r="N107" s="6">
        <f t="shared" si="40"/>
        <v>143.14678899082568</v>
      </c>
      <c r="O107" s="5">
        <f t="shared" si="41"/>
        <v>1.75</v>
      </c>
      <c r="P107" s="6">
        <f t="shared" si="42"/>
        <v>81.798165137614674</v>
      </c>
      <c r="Q107" s="100"/>
      <c r="R107" s="59">
        <v>1</v>
      </c>
      <c r="S107" s="5">
        <f t="shared" si="43"/>
        <v>1</v>
      </c>
      <c r="T107" s="83">
        <f t="shared" si="44"/>
        <v>0</v>
      </c>
      <c r="U107" s="6">
        <f t="shared" si="45"/>
        <v>0</v>
      </c>
      <c r="V107" s="6">
        <f t="shared" si="46"/>
        <v>0</v>
      </c>
      <c r="W107" s="15"/>
    </row>
    <row r="108" spans="12:23" x14ac:dyDescent="0.25">
      <c r="L108" s="76"/>
      <c r="M108" s="73"/>
      <c r="N108" s="73"/>
      <c r="O108" s="73"/>
      <c r="P108" s="73"/>
      <c r="Q108" s="73"/>
      <c r="R108" s="73"/>
      <c r="S108" s="73"/>
      <c r="T108" s="73"/>
      <c r="U108" s="7">
        <f>SUM(U99:U107)</f>
        <v>0</v>
      </c>
      <c r="V108" s="7">
        <f>SUM(V99:V107)</f>
        <v>0</v>
      </c>
      <c r="W108" s="15"/>
    </row>
    <row r="109" spans="12:23" x14ac:dyDescent="0.25">
      <c r="L109" s="88"/>
      <c r="M109" s="80"/>
      <c r="N109" s="80"/>
      <c r="O109" s="80"/>
      <c r="P109" s="80" t="s">
        <v>177</v>
      </c>
      <c r="Q109" s="80"/>
      <c r="R109" s="80"/>
      <c r="W109" s="15"/>
    </row>
    <row r="110" spans="12:23" x14ac:dyDescent="0.25">
      <c r="L110" s="17" t="s">
        <v>3</v>
      </c>
      <c r="M110" s="61" t="s">
        <v>173</v>
      </c>
      <c r="N110" s="84" t="s">
        <v>171</v>
      </c>
      <c r="O110" s="84" t="s">
        <v>172</v>
      </c>
      <c r="P110" s="85" t="s">
        <v>178</v>
      </c>
      <c r="Q110" s="85" t="s">
        <v>179</v>
      </c>
      <c r="R110" s="85" t="s">
        <v>180</v>
      </c>
      <c r="W110" s="15"/>
    </row>
    <row r="111" spans="12:23" x14ac:dyDescent="0.25">
      <c r="L111" s="14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2.165223676937416</v>
      </c>
      <c r="Q111" s="6">
        <f t="shared" ref="Q111:Q119" si="50">IF(C24&lt;&gt;"", IF(O111&lt;=$R$41,$W$63*(O111-N111),IF(N111&gt;=$R$41,$W$64*(O111-N111),$W$64*(O111-$R$41)+$W$63*($R$41-N111))), "")</f>
        <v>1.9426540143739799</v>
      </c>
      <c r="W111" s="15"/>
    </row>
    <row r="112" spans="12:23" x14ac:dyDescent="0.25">
      <c r="L112" s="14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2.165223676937416</v>
      </c>
      <c r="Q112" s="6">
        <f t="shared" si="50"/>
        <v>1.9426540143739799</v>
      </c>
      <c r="W112" s="15"/>
    </row>
    <row r="113" spans="12:23" x14ac:dyDescent="0.25">
      <c r="L113" s="14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12.25</v>
      </c>
      <c r="P113" s="6">
        <f t="shared" si="49"/>
        <v>2.165223676937416</v>
      </c>
      <c r="Q113" s="6">
        <f t="shared" si="50"/>
        <v>1.9426540143739799</v>
      </c>
      <c r="W113" s="15"/>
    </row>
    <row r="114" spans="12:23" x14ac:dyDescent="0.25">
      <c r="L114" s="14">
        <v>4</v>
      </c>
      <c r="M114" s="5">
        <f t="shared" si="48"/>
        <v>14</v>
      </c>
      <c r="N114" s="5">
        <f t="shared" si="51"/>
        <v>12.25</v>
      </c>
      <c r="O114" s="5">
        <f t="shared" si="52"/>
        <v>15.75</v>
      </c>
      <c r="P114" s="6">
        <f t="shared" si="49"/>
        <v>2.165223676937416</v>
      </c>
      <c r="Q114" s="6">
        <f t="shared" si="50"/>
        <v>1.9426540143739799</v>
      </c>
      <c r="W114" s="15"/>
    </row>
    <row r="115" spans="12:23" x14ac:dyDescent="0.25">
      <c r="L115" s="14">
        <v>5</v>
      </c>
      <c r="M115" s="5">
        <f t="shared" si="48"/>
        <v>17.5</v>
      </c>
      <c r="N115" s="5">
        <f t="shared" si="51"/>
        <v>15.75</v>
      </c>
      <c r="O115" s="5">
        <f t="shared" si="52"/>
        <v>19.25</v>
      </c>
      <c r="P115" s="6">
        <f t="shared" si="49"/>
        <v>2.165223676937416</v>
      </c>
      <c r="Q115" s="6">
        <f t="shared" si="50"/>
        <v>1.9426540143739799</v>
      </c>
      <c r="W115" s="15"/>
    </row>
    <row r="116" spans="12:23" x14ac:dyDescent="0.25">
      <c r="L116" s="14">
        <v>6</v>
      </c>
      <c r="M116" s="5">
        <f t="shared" si="48"/>
        <v>21</v>
      </c>
      <c r="N116" s="5">
        <f t="shared" si="51"/>
        <v>19.25</v>
      </c>
      <c r="O116" s="5">
        <f t="shared" si="52"/>
        <v>22.75</v>
      </c>
      <c r="P116" s="6">
        <f t="shared" si="49"/>
        <v>2.165223676937416</v>
      </c>
      <c r="Q116" s="6">
        <f t="shared" si="50"/>
        <v>1.9426540143739799</v>
      </c>
      <c r="W116" s="15"/>
    </row>
    <row r="117" spans="12:23" x14ac:dyDescent="0.25">
      <c r="L117" s="14">
        <v>7</v>
      </c>
      <c r="M117" s="5">
        <f t="shared" si="48"/>
        <v>24.5</v>
      </c>
      <c r="N117" s="5">
        <f t="shared" si="51"/>
        <v>22.75</v>
      </c>
      <c r="O117" s="5">
        <f t="shared" si="52"/>
        <v>26.25</v>
      </c>
      <c r="P117" s="6">
        <f t="shared" si="49"/>
        <v>2.165223676937416</v>
      </c>
      <c r="Q117" s="6">
        <f t="shared" si="50"/>
        <v>2.085734511736189</v>
      </c>
      <c r="W117" s="15"/>
    </row>
    <row r="118" spans="12:23" x14ac:dyDescent="0.25">
      <c r="L118" s="14">
        <v>8</v>
      </c>
      <c r="M118" s="5">
        <f t="shared" si="48"/>
        <v>28</v>
      </c>
      <c r="N118" s="5">
        <f t="shared" si="51"/>
        <v>26.25</v>
      </c>
      <c r="O118" s="5">
        <f t="shared" si="52"/>
        <v>29.75</v>
      </c>
      <c r="P118" s="6">
        <f t="shared" si="49"/>
        <v>2.165223676937416</v>
      </c>
      <c r="Q118" s="6">
        <f t="shared" si="50"/>
        <v>2.165223676937416</v>
      </c>
      <c r="W118" s="15"/>
    </row>
    <row r="119" spans="12:23" x14ac:dyDescent="0.25">
      <c r="L119" s="14">
        <v>9</v>
      </c>
      <c r="M119" s="5">
        <f t="shared" si="48"/>
        <v>31.5</v>
      </c>
      <c r="N119" s="5">
        <f t="shared" si="51"/>
        <v>29.75</v>
      </c>
      <c r="O119" s="5">
        <f t="shared" si="52"/>
        <v>31.5</v>
      </c>
      <c r="P119" s="6">
        <f t="shared" si="49"/>
        <v>1.082611838468708</v>
      </c>
      <c r="Q119" s="6">
        <f t="shared" si="50"/>
        <v>1.082611838468708</v>
      </c>
      <c r="W119" s="15"/>
    </row>
    <row r="120" spans="12:23" x14ac:dyDescent="0.25">
      <c r="L120" s="76"/>
      <c r="M120" s="73"/>
      <c r="N120" s="73"/>
      <c r="O120" s="73"/>
      <c r="P120" s="73"/>
      <c r="Q120" s="73"/>
      <c r="R120" s="73"/>
      <c r="W120" s="15"/>
    </row>
    <row r="121" spans="12:23" x14ac:dyDescent="0.25">
      <c r="L121" s="14"/>
      <c r="W121" s="15"/>
    </row>
    <row r="122" spans="12:23" x14ac:dyDescent="0.25">
      <c r="L122" s="112" t="s">
        <v>174</v>
      </c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4"/>
    </row>
    <row r="123" spans="12:23" x14ac:dyDescent="0.25">
      <c r="L123" s="14"/>
      <c r="M123" s="111" t="s">
        <v>69</v>
      </c>
      <c r="N123" s="111"/>
      <c r="Q123" s="111" t="s">
        <v>70</v>
      </c>
      <c r="R123" s="111"/>
      <c r="U123" s="111" t="s">
        <v>182</v>
      </c>
      <c r="V123" s="111"/>
      <c r="W123" s="15"/>
    </row>
    <row r="124" spans="12:23" x14ac:dyDescent="0.25">
      <c r="L124" s="17" t="s">
        <v>3</v>
      </c>
      <c r="M124" s="50" t="s">
        <v>136</v>
      </c>
      <c r="N124" s="50" t="s">
        <v>137</v>
      </c>
      <c r="Q124" s="50" t="s">
        <v>136</v>
      </c>
      <c r="R124" s="50" t="s">
        <v>137</v>
      </c>
      <c r="U124" s="50" t="s">
        <v>136</v>
      </c>
      <c r="V124" s="50" t="s">
        <v>137</v>
      </c>
      <c r="W124" s="15"/>
    </row>
    <row r="125" spans="12:23" x14ac:dyDescent="0.25">
      <c r="L125" s="14">
        <v>1</v>
      </c>
      <c r="M125" s="9" t="e">
        <f>IF(C24&lt;&gt;"", $M$52*$C$7*IF($R$39&lt;$R$41, P111, IF($R$39&lt;2*$R$41, Q111, R111)), "")</f>
        <v>#DIV/0!</v>
      </c>
      <c r="N125" s="9" t="e">
        <f>IF(C24&lt;&gt;"", Loads!$M$52*$W$68*(Loads!O111-Loads!N111)*Loads!$C$7, "")</f>
        <v>#DIV/0!</v>
      </c>
      <c r="O125" s="6" t="e">
        <f>IF(C24&lt;&gt;"", M125+(-1*N125), "")</f>
        <v>#DIV/0!</v>
      </c>
      <c r="Q125" s="9" t="e">
        <f t="shared" ref="Q125:Q133" si="53">IF(C24&lt;&gt;"", $N$52*$C$7*IF($R$39&lt;$R$41, P111, IF($R$39&lt;2*$R$41, Q111, R111)), "")</f>
        <v>#DIV/0!</v>
      </c>
      <c r="R125" s="9" t="e">
        <f>IF(C24&lt;&gt;"", Loads!$M$52*$W$68*(Loads!O111-Loads!N111)*Loads!$C$7, "")</f>
        <v>#DIV/0!</v>
      </c>
      <c r="S125" s="6" t="e">
        <f>IF(C24&lt;&gt;"", Q125+(-1*R125), "")</f>
        <v>#DIV/0!</v>
      </c>
      <c r="U125" s="9" t="e">
        <f t="shared" ref="U125:U133" si="54">IF(C24&lt;&gt;"", $O$52*$C$7*IF($R$39&lt;$R$41, P111, IF($R$39&lt;2*$R$41, Q111, R111)), "")</f>
        <v>#DIV/0!</v>
      </c>
      <c r="V125" s="9" t="e">
        <f>IF(C24&lt;&gt;"", Loads!$O$52*$W$68*(Loads!O111-Loads!N111)*Loads!$C$7, "")</f>
        <v>#DIV/0!</v>
      </c>
      <c r="W125" s="36" t="e">
        <f>IF(C24&lt;&gt;"", U125+(-1*V125), "")</f>
        <v>#DIV/0!</v>
      </c>
    </row>
    <row r="126" spans="12:23" x14ac:dyDescent="0.25">
      <c r="L126" s="14">
        <v>2</v>
      </c>
      <c r="M126" s="9" t="e">
        <f t="shared" ref="M126:M133" si="55">IF(C25&lt;&gt;"", $M$52*$C$7*IF($R$39&lt;$R$41, P112, IF($R$39&lt;2*$R$41, Q112, R112)), "")</f>
        <v>#DIV/0!</v>
      </c>
      <c r="N126" s="9" t="e">
        <f>IF(C25&lt;&gt;"", Loads!$M$52*$W$68*(Loads!O112-Loads!N112)*Loads!$C$7, "")</f>
        <v>#DIV/0!</v>
      </c>
      <c r="O126" s="6" t="e">
        <f t="shared" ref="O126:O133" si="56">IF(C25&lt;&gt;"", M126+(-1*N126), "")</f>
        <v>#DIV/0!</v>
      </c>
      <c r="Q126" s="9" t="e">
        <f t="shared" si="53"/>
        <v>#DIV/0!</v>
      </c>
      <c r="R126" s="9" t="e">
        <f>IF(C25&lt;&gt;"", Loads!$M$52*$W$68*(Loads!O112-Loads!N112)*Loads!$C$7, "")</f>
        <v>#DIV/0!</v>
      </c>
      <c r="S126" s="6" t="e">
        <f t="shared" ref="S126:S133" si="57">IF(C25&lt;&gt;"", Q126+(-1*R126), "")</f>
        <v>#DIV/0!</v>
      </c>
      <c r="U126" s="9" t="e">
        <f t="shared" si="54"/>
        <v>#DIV/0!</v>
      </c>
      <c r="V126" s="9" t="e">
        <f>IF(C25&lt;&gt;"", Loads!$O$52*$W$68*(Loads!O112-Loads!N112)*Loads!$C$7, "")</f>
        <v>#DIV/0!</v>
      </c>
      <c r="W126" s="36" t="e">
        <f t="shared" ref="W126:W133" si="58">IF(C25&lt;&gt;"", U126+(-1*V126), "")</f>
        <v>#DIV/0!</v>
      </c>
    </row>
    <row r="127" spans="12:23" x14ac:dyDescent="0.25">
      <c r="L127" s="14">
        <v>3</v>
      </c>
      <c r="M127" s="9" t="e">
        <f t="shared" si="55"/>
        <v>#DIV/0!</v>
      </c>
      <c r="N127" s="9" t="e">
        <f>IF(C26&lt;&gt;"", Loads!$M$52*$W$68*(Loads!O113-Loads!N113)*Loads!$C$7, "")</f>
        <v>#DIV/0!</v>
      </c>
      <c r="O127" s="6" t="e">
        <f t="shared" si="56"/>
        <v>#DIV/0!</v>
      </c>
      <c r="Q127" s="9" t="e">
        <f t="shared" si="53"/>
        <v>#DIV/0!</v>
      </c>
      <c r="R127" s="9" t="e">
        <f>IF(C26&lt;&gt;"", Loads!$M$52*$W$68*(Loads!O113-Loads!N113)*Loads!$C$7, "")</f>
        <v>#DIV/0!</v>
      </c>
      <c r="S127" s="6" t="e">
        <f t="shared" si="57"/>
        <v>#DIV/0!</v>
      </c>
      <c r="U127" s="9" t="e">
        <f t="shared" si="54"/>
        <v>#DIV/0!</v>
      </c>
      <c r="V127" s="9" t="e">
        <f>IF(C26&lt;&gt;"", Loads!$O$52*$W$68*(Loads!O113-Loads!N113)*Loads!$C$7, "")</f>
        <v>#DIV/0!</v>
      </c>
      <c r="W127" s="36" t="e">
        <f t="shared" si="58"/>
        <v>#DIV/0!</v>
      </c>
    </row>
    <row r="128" spans="12:23" x14ac:dyDescent="0.25">
      <c r="L128" s="14">
        <v>4</v>
      </c>
      <c r="M128" s="9" t="e">
        <f t="shared" si="55"/>
        <v>#DIV/0!</v>
      </c>
      <c r="N128" s="9" t="e">
        <f>IF(C27&lt;&gt;"", Loads!$M$52*$W$68*(Loads!O114-Loads!N114)*Loads!$C$7, "")</f>
        <v>#DIV/0!</v>
      </c>
      <c r="O128" s="6" t="e">
        <f t="shared" si="56"/>
        <v>#DIV/0!</v>
      </c>
      <c r="Q128" s="9" t="e">
        <f t="shared" si="53"/>
        <v>#DIV/0!</v>
      </c>
      <c r="R128" s="9" t="e">
        <f>IF(C27&lt;&gt;"", Loads!$M$52*$W$68*(Loads!O114-Loads!N114)*Loads!$C$7, "")</f>
        <v>#DIV/0!</v>
      </c>
      <c r="S128" s="6" t="e">
        <f t="shared" si="57"/>
        <v>#DIV/0!</v>
      </c>
      <c r="U128" s="9" t="e">
        <f t="shared" si="54"/>
        <v>#DIV/0!</v>
      </c>
      <c r="V128" s="9" t="e">
        <f>IF(C27&lt;&gt;"", Loads!$O$52*$W$68*(Loads!O114-Loads!N114)*Loads!$C$7, "")</f>
        <v>#DIV/0!</v>
      </c>
      <c r="W128" s="36" t="e">
        <f t="shared" si="58"/>
        <v>#DIV/0!</v>
      </c>
    </row>
    <row r="129" spans="12:23" x14ac:dyDescent="0.25">
      <c r="L129" s="14">
        <v>5</v>
      </c>
      <c r="M129" s="9" t="e">
        <f t="shared" si="55"/>
        <v>#DIV/0!</v>
      </c>
      <c r="N129" s="9" t="e">
        <f>IF(C28&lt;&gt;"", Loads!$M$52*$W$68*(Loads!O115-Loads!N115)*Loads!$C$7, "")</f>
        <v>#DIV/0!</v>
      </c>
      <c r="O129" s="6" t="e">
        <f t="shared" si="56"/>
        <v>#DIV/0!</v>
      </c>
      <c r="Q129" s="9" t="e">
        <f t="shared" si="53"/>
        <v>#DIV/0!</v>
      </c>
      <c r="R129" s="9" t="e">
        <f>IF(C28&lt;&gt;"", Loads!$M$52*$W$68*(Loads!O115-Loads!N115)*Loads!$C$7, "")</f>
        <v>#DIV/0!</v>
      </c>
      <c r="S129" s="6" t="e">
        <f t="shared" si="57"/>
        <v>#DIV/0!</v>
      </c>
      <c r="U129" s="9" t="e">
        <f t="shared" si="54"/>
        <v>#DIV/0!</v>
      </c>
      <c r="V129" s="9" t="e">
        <f>IF(C28&lt;&gt;"", Loads!$O$52*$W$68*(Loads!O115-Loads!N115)*Loads!$C$7, "")</f>
        <v>#DIV/0!</v>
      </c>
      <c r="W129" s="36" t="e">
        <f t="shared" si="58"/>
        <v>#DIV/0!</v>
      </c>
    </row>
    <row r="130" spans="12:23" x14ac:dyDescent="0.25">
      <c r="L130" s="14">
        <v>6</v>
      </c>
      <c r="M130" s="9" t="e">
        <f t="shared" si="55"/>
        <v>#DIV/0!</v>
      </c>
      <c r="N130" s="9" t="e">
        <f>IF(C29&lt;&gt;"", Loads!$M$52*$W$68*(Loads!O116-Loads!N116)*Loads!$C$7, "")</f>
        <v>#DIV/0!</v>
      </c>
      <c r="O130" s="6" t="e">
        <f t="shared" si="56"/>
        <v>#DIV/0!</v>
      </c>
      <c r="Q130" s="9" t="e">
        <f t="shared" si="53"/>
        <v>#DIV/0!</v>
      </c>
      <c r="R130" s="9" t="e">
        <f>IF(C29&lt;&gt;"", Loads!$M$52*$W$68*(Loads!O116-Loads!N116)*Loads!$C$7, "")</f>
        <v>#DIV/0!</v>
      </c>
      <c r="S130" s="6" t="e">
        <f t="shared" si="57"/>
        <v>#DIV/0!</v>
      </c>
      <c r="U130" s="9" t="e">
        <f t="shared" si="54"/>
        <v>#DIV/0!</v>
      </c>
      <c r="V130" s="9" t="e">
        <f>IF(C29&lt;&gt;"", Loads!$O$52*$W$68*(Loads!O116-Loads!N116)*Loads!$C$7, "")</f>
        <v>#DIV/0!</v>
      </c>
      <c r="W130" s="36" t="e">
        <f t="shared" si="58"/>
        <v>#DIV/0!</v>
      </c>
    </row>
    <row r="131" spans="12:23" x14ac:dyDescent="0.25">
      <c r="L131" s="14">
        <v>7</v>
      </c>
      <c r="M131" s="9" t="e">
        <f t="shared" si="55"/>
        <v>#DIV/0!</v>
      </c>
      <c r="N131" s="9" t="e">
        <f>IF(C30&lt;&gt;"", Loads!$M$52*$W$68*(Loads!O117-Loads!N117)*Loads!$C$7, "")</f>
        <v>#DIV/0!</v>
      </c>
      <c r="O131" s="6" t="e">
        <f t="shared" si="56"/>
        <v>#DIV/0!</v>
      </c>
      <c r="Q131" s="9" t="e">
        <f t="shared" si="53"/>
        <v>#DIV/0!</v>
      </c>
      <c r="R131" s="9" t="e">
        <f>IF(C30&lt;&gt;"", Loads!$M$52*$W$68*(Loads!O117-Loads!N117)*Loads!$C$7, "")</f>
        <v>#DIV/0!</v>
      </c>
      <c r="S131" s="6" t="e">
        <f t="shared" si="57"/>
        <v>#DIV/0!</v>
      </c>
      <c r="U131" s="9" t="e">
        <f t="shared" si="54"/>
        <v>#DIV/0!</v>
      </c>
      <c r="V131" s="9" t="e">
        <f>IF(C30&lt;&gt;"", Loads!$O$52*$W$68*(Loads!O117-Loads!N117)*Loads!$C$7, "")</f>
        <v>#DIV/0!</v>
      </c>
      <c r="W131" s="36" t="e">
        <f t="shared" si="58"/>
        <v>#DIV/0!</v>
      </c>
    </row>
    <row r="132" spans="12:23" x14ac:dyDescent="0.25">
      <c r="L132" s="14">
        <v>8</v>
      </c>
      <c r="M132" s="9" t="e">
        <f t="shared" si="55"/>
        <v>#DIV/0!</v>
      </c>
      <c r="N132" s="9" t="e">
        <f>IF(C31&lt;&gt;"", Loads!$M$52*$W$68*(Loads!O118-Loads!N118)*Loads!$C$7, "")</f>
        <v>#DIV/0!</v>
      </c>
      <c r="O132" s="6" t="e">
        <f t="shared" si="56"/>
        <v>#DIV/0!</v>
      </c>
      <c r="Q132" s="9" t="e">
        <f t="shared" si="53"/>
        <v>#DIV/0!</v>
      </c>
      <c r="R132" s="9" t="e">
        <f>IF(C31&lt;&gt;"", Loads!$M$52*$W$68*(Loads!O118-Loads!N118)*Loads!$C$7, "")</f>
        <v>#DIV/0!</v>
      </c>
      <c r="S132" s="6" t="e">
        <f t="shared" si="57"/>
        <v>#DIV/0!</v>
      </c>
      <c r="U132" s="9" t="e">
        <f t="shared" si="54"/>
        <v>#DIV/0!</v>
      </c>
      <c r="V132" s="9" t="e">
        <f>IF(C31&lt;&gt;"", Loads!$O$52*$W$68*(Loads!O118-Loads!N118)*Loads!$C$7, "")</f>
        <v>#DIV/0!</v>
      </c>
      <c r="W132" s="36" t="e">
        <f t="shared" si="58"/>
        <v>#DIV/0!</v>
      </c>
    </row>
    <row r="133" spans="12:23" x14ac:dyDescent="0.25">
      <c r="L133" s="14">
        <v>9</v>
      </c>
      <c r="M133" s="9" t="e">
        <f t="shared" si="55"/>
        <v>#DIV/0!</v>
      </c>
      <c r="N133" s="9" t="e">
        <f>IF(C32&lt;&gt;"", Loads!$M$52*$W$68*(Loads!O119-Loads!N119)*Loads!$C$7, "")</f>
        <v>#DIV/0!</v>
      </c>
      <c r="O133" s="6" t="e">
        <f t="shared" si="56"/>
        <v>#DIV/0!</v>
      </c>
      <c r="Q133" s="9" t="e">
        <f t="shared" si="53"/>
        <v>#DIV/0!</v>
      </c>
      <c r="R133" s="9" t="e">
        <f>IF(C32&lt;&gt;"", Loads!$M$52*$W$68*(Loads!O119-Loads!N119)*Loads!$C$7, "")</f>
        <v>#DIV/0!</v>
      </c>
      <c r="S133" s="6" t="e">
        <f t="shared" si="57"/>
        <v>#DIV/0!</v>
      </c>
      <c r="U133" s="9" t="e">
        <f t="shared" si="54"/>
        <v>#DIV/0!</v>
      </c>
      <c r="V133" s="9" t="e">
        <f>IF(C32&lt;&gt;"", Loads!$O$52*$W$68*(Loads!O119-Loads!N119)*Loads!$C$7, "")</f>
        <v>#DIV/0!</v>
      </c>
      <c r="W133" s="36" t="e">
        <f t="shared" si="58"/>
        <v>#DIV/0!</v>
      </c>
    </row>
    <row r="134" spans="12:23" ht="15.75" thickBot="1" x14ac:dyDescent="0.3">
      <c r="L134" s="78" t="s">
        <v>71</v>
      </c>
      <c r="M134" s="51" t="e">
        <f>SUM(M125:M133)</f>
        <v>#DIV/0!</v>
      </c>
      <c r="N134" s="51" t="e">
        <f>SUM(N125:N133)</f>
        <v>#DIV/0!</v>
      </c>
      <c r="O134" s="86" t="e">
        <f>M134+(-1*N134)</f>
        <v>#DIV/0!</v>
      </c>
      <c r="Q134" s="51" t="e">
        <f>SUM(Q125:Q133)</f>
        <v>#DIV/0!</v>
      </c>
      <c r="R134" s="51" t="e">
        <f>SUM(R125:R133)</f>
        <v>#DIV/0!</v>
      </c>
      <c r="S134" s="86" t="e">
        <f>Q134+(-1*R134)</f>
        <v>#DIV/0!</v>
      </c>
      <c r="U134" s="51" t="e">
        <f>SUM(U125:U133)</f>
        <v>#DIV/0!</v>
      </c>
      <c r="V134" s="51" t="e">
        <f>SUM(V125:V133)</f>
        <v>#DIV/0!</v>
      </c>
      <c r="W134" s="87" t="e">
        <f>U134+(-1*V134)</f>
        <v>#DIV/0!</v>
      </c>
    </row>
    <row r="135" spans="12:23" x14ac:dyDescent="0.25">
      <c r="L135" s="14"/>
      <c r="W135" s="15"/>
    </row>
    <row r="136" spans="12:23" x14ac:dyDescent="0.25">
      <c r="L136" s="112" t="s">
        <v>138</v>
      </c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4"/>
    </row>
    <row r="137" spans="12:23" x14ac:dyDescent="0.25">
      <c r="L137" s="14"/>
      <c r="M137" s="111" t="s">
        <v>69</v>
      </c>
      <c r="N137" s="111"/>
      <c r="Q137" s="111" t="s">
        <v>70</v>
      </c>
      <c r="R137" s="111"/>
      <c r="U137" s="111" t="s">
        <v>182</v>
      </c>
      <c r="V137" s="111"/>
      <c r="W137" s="15"/>
    </row>
    <row r="138" spans="12:23" x14ac:dyDescent="0.25">
      <c r="L138" s="17" t="s">
        <v>3</v>
      </c>
      <c r="M138" s="50" t="s">
        <v>136</v>
      </c>
      <c r="N138" s="50" t="s">
        <v>137</v>
      </c>
      <c r="Q138" s="50" t="s">
        <v>136</v>
      </c>
      <c r="R138" s="50" t="s">
        <v>137</v>
      </c>
      <c r="U138" s="50" t="s">
        <v>136</v>
      </c>
      <c r="V138" s="50" t="s">
        <v>137</v>
      </c>
      <c r="W138" s="15"/>
    </row>
    <row r="139" spans="12:23" x14ac:dyDescent="0.25">
      <c r="L139" s="14">
        <v>1</v>
      </c>
      <c r="M139" s="9" t="e">
        <f>IF(C24&lt;&gt;"", M125*$E$14*$E$15, "")</f>
        <v>#DIV/0!</v>
      </c>
      <c r="N139" s="9" t="e">
        <f t="shared" ref="N139:N147" si="59">IF(C24&lt;&gt;"", N125*$E$14*$E$15, "")</f>
        <v>#DIV/0!</v>
      </c>
      <c r="O139" s="6" t="e">
        <f>IF(C24&lt;&gt;"", M139+(-1*N139), "")</f>
        <v>#DIV/0!</v>
      </c>
      <c r="Q139" s="9" t="e">
        <f t="shared" ref="Q139:Q147" si="60">IF(C24&lt;&gt;"", Q125*$E$14, "")</f>
        <v>#DIV/0!</v>
      </c>
      <c r="R139" s="9" t="e">
        <f t="shared" ref="R139:R147" si="61">IF(C24&lt;&gt;"", R125*$E$14, "")</f>
        <v>#DIV/0!</v>
      </c>
      <c r="S139" s="6" t="e">
        <f>IF(C24&lt;&gt;"", Q139+(-1*R139), "")</f>
        <v>#DIV/0!</v>
      </c>
      <c r="U139" s="9" t="e">
        <f t="shared" ref="U139:U147" si="62">IF(C24&lt;&gt;"", U125*$E$14*$E$15, "")</f>
        <v>#DIV/0!</v>
      </c>
      <c r="V139" s="9" t="e">
        <f t="shared" ref="V139:V147" si="63">IF(C24&lt;&gt;"", V125*$E$14*$E$15, "")</f>
        <v>#DIV/0!</v>
      </c>
      <c r="W139" s="36" t="e">
        <f>IF(C24&lt;&gt;"", U139+(-1*V139), "")</f>
        <v>#DIV/0!</v>
      </c>
    </row>
    <row r="140" spans="12:23" x14ac:dyDescent="0.25">
      <c r="L140" s="14">
        <v>2</v>
      </c>
      <c r="M140" s="9" t="e">
        <f t="shared" ref="M140:M147" si="64">IF(C25&lt;&gt;"", M126*$E$14*$E$15, "")</f>
        <v>#DIV/0!</v>
      </c>
      <c r="N140" s="9" t="e">
        <f t="shared" si="59"/>
        <v>#DIV/0!</v>
      </c>
      <c r="O140" s="6" t="e">
        <f t="shared" ref="O140:O147" si="65">IF(C25&lt;&gt;"", M140+(-1*N140), "")</f>
        <v>#DIV/0!</v>
      </c>
      <c r="Q140" s="9" t="e">
        <f t="shared" si="60"/>
        <v>#DIV/0!</v>
      </c>
      <c r="R140" s="9" t="e">
        <f t="shared" si="61"/>
        <v>#DIV/0!</v>
      </c>
      <c r="S140" s="6" t="e">
        <f t="shared" ref="S140:S147" si="66">IF(C25&lt;&gt;"", Q140+(-1*R140), "")</f>
        <v>#DIV/0!</v>
      </c>
      <c r="U140" s="9" t="e">
        <f t="shared" si="62"/>
        <v>#DIV/0!</v>
      </c>
      <c r="V140" s="9" t="e">
        <f t="shared" si="63"/>
        <v>#DIV/0!</v>
      </c>
      <c r="W140" s="36" t="e">
        <f t="shared" ref="W140:W147" si="67">IF(C25&lt;&gt;"", U140+(-1*V140), "")</f>
        <v>#DIV/0!</v>
      </c>
    </row>
    <row r="141" spans="12:23" x14ac:dyDescent="0.25">
      <c r="L141" s="14">
        <v>3</v>
      </c>
      <c r="M141" s="9" t="e">
        <f t="shared" si="64"/>
        <v>#DIV/0!</v>
      </c>
      <c r="N141" s="9" t="e">
        <f t="shared" si="59"/>
        <v>#DIV/0!</v>
      </c>
      <c r="O141" s="6" t="e">
        <f t="shared" si="65"/>
        <v>#DIV/0!</v>
      </c>
      <c r="Q141" s="9" t="e">
        <f t="shared" si="60"/>
        <v>#DIV/0!</v>
      </c>
      <c r="R141" s="9" t="e">
        <f t="shared" si="61"/>
        <v>#DIV/0!</v>
      </c>
      <c r="S141" s="6" t="e">
        <f t="shared" si="66"/>
        <v>#DIV/0!</v>
      </c>
      <c r="U141" s="9" t="e">
        <f t="shared" si="62"/>
        <v>#DIV/0!</v>
      </c>
      <c r="V141" s="9" t="e">
        <f t="shared" si="63"/>
        <v>#DIV/0!</v>
      </c>
      <c r="W141" s="36" t="e">
        <f t="shared" si="67"/>
        <v>#DIV/0!</v>
      </c>
    </row>
    <row r="142" spans="12:23" x14ac:dyDescent="0.25">
      <c r="L142" s="14">
        <v>4</v>
      </c>
      <c r="M142" s="9" t="e">
        <f t="shared" si="64"/>
        <v>#DIV/0!</v>
      </c>
      <c r="N142" s="9" t="e">
        <f t="shared" si="59"/>
        <v>#DIV/0!</v>
      </c>
      <c r="O142" s="6" t="e">
        <f t="shared" si="65"/>
        <v>#DIV/0!</v>
      </c>
      <c r="Q142" s="9" t="e">
        <f t="shared" si="60"/>
        <v>#DIV/0!</v>
      </c>
      <c r="R142" s="9" t="e">
        <f t="shared" si="61"/>
        <v>#DIV/0!</v>
      </c>
      <c r="S142" s="6" t="e">
        <f t="shared" si="66"/>
        <v>#DIV/0!</v>
      </c>
      <c r="U142" s="9" t="e">
        <f t="shared" si="62"/>
        <v>#DIV/0!</v>
      </c>
      <c r="V142" s="9" t="e">
        <f t="shared" si="63"/>
        <v>#DIV/0!</v>
      </c>
      <c r="W142" s="36" t="e">
        <f t="shared" si="67"/>
        <v>#DIV/0!</v>
      </c>
    </row>
    <row r="143" spans="12:23" x14ac:dyDescent="0.25">
      <c r="L143" s="14">
        <v>5</v>
      </c>
      <c r="M143" s="9" t="e">
        <f t="shared" si="64"/>
        <v>#DIV/0!</v>
      </c>
      <c r="N143" s="9" t="e">
        <f t="shared" si="59"/>
        <v>#DIV/0!</v>
      </c>
      <c r="O143" s="6" t="e">
        <f t="shared" si="65"/>
        <v>#DIV/0!</v>
      </c>
      <c r="Q143" s="9" t="e">
        <f t="shared" si="60"/>
        <v>#DIV/0!</v>
      </c>
      <c r="R143" s="9" t="e">
        <f t="shared" si="61"/>
        <v>#DIV/0!</v>
      </c>
      <c r="S143" s="6" t="e">
        <f t="shared" si="66"/>
        <v>#DIV/0!</v>
      </c>
      <c r="U143" s="9" t="e">
        <f t="shared" si="62"/>
        <v>#DIV/0!</v>
      </c>
      <c r="V143" s="9" t="e">
        <f t="shared" si="63"/>
        <v>#DIV/0!</v>
      </c>
      <c r="W143" s="36" t="e">
        <f t="shared" si="67"/>
        <v>#DIV/0!</v>
      </c>
    </row>
    <row r="144" spans="12:23" x14ac:dyDescent="0.25">
      <c r="L144" s="14">
        <v>6</v>
      </c>
      <c r="M144" s="9" t="e">
        <f t="shared" si="64"/>
        <v>#DIV/0!</v>
      </c>
      <c r="N144" s="9" t="e">
        <f t="shared" si="59"/>
        <v>#DIV/0!</v>
      </c>
      <c r="O144" s="6" t="e">
        <f t="shared" si="65"/>
        <v>#DIV/0!</v>
      </c>
      <c r="Q144" s="9" t="e">
        <f t="shared" si="60"/>
        <v>#DIV/0!</v>
      </c>
      <c r="R144" s="9" t="e">
        <f t="shared" si="61"/>
        <v>#DIV/0!</v>
      </c>
      <c r="S144" s="6" t="e">
        <f t="shared" si="66"/>
        <v>#DIV/0!</v>
      </c>
      <c r="U144" s="9" t="e">
        <f t="shared" si="62"/>
        <v>#DIV/0!</v>
      </c>
      <c r="V144" s="9" t="e">
        <f t="shared" si="63"/>
        <v>#DIV/0!</v>
      </c>
      <c r="W144" s="36" t="e">
        <f t="shared" si="67"/>
        <v>#DIV/0!</v>
      </c>
    </row>
    <row r="145" spans="12:23" x14ac:dyDescent="0.25">
      <c r="L145" s="14">
        <v>7</v>
      </c>
      <c r="M145" s="9" t="e">
        <f t="shared" si="64"/>
        <v>#DIV/0!</v>
      </c>
      <c r="N145" s="9" t="e">
        <f t="shared" si="59"/>
        <v>#DIV/0!</v>
      </c>
      <c r="O145" s="6" t="e">
        <f t="shared" si="65"/>
        <v>#DIV/0!</v>
      </c>
      <c r="Q145" s="9" t="e">
        <f t="shared" si="60"/>
        <v>#DIV/0!</v>
      </c>
      <c r="R145" s="9" t="e">
        <f t="shared" si="61"/>
        <v>#DIV/0!</v>
      </c>
      <c r="S145" s="6" t="e">
        <f t="shared" si="66"/>
        <v>#DIV/0!</v>
      </c>
      <c r="U145" s="9" t="e">
        <f t="shared" si="62"/>
        <v>#DIV/0!</v>
      </c>
      <c r="V145" s="9" t="e">
        <f t="shared" si="63"/>
        <v>#DIV/0!</v>
      </c>
      <c r="W145" s="36" t="e">
        <f t="shared" si="67"/>
        <v>#DIV/0!</v>
      </c>
    </row>
    <row r="146" spans="12:23" x14ac:dyDescent="0.25">
      <c r="L146" s="14">
        <v>8</v>
      </c>
      <c r="M146" s="9" t="e">
        <f t="shared" si="64"/>
        <v>#DIV/0!</v>
      </c>
      <c r="N146" s="9" t="e">
        <f t="shared" si="59"/>
        <v>#DIV/0!</v>
      </c>
      <c r="O146" s="6" t="e">
        <f t="shared" si="65"/>
        <v>#DIV/0!</v>
      </c>
      <c r="Q146" s="9" t="e">
        <f t="shared" si="60"/>
        <v>#DIV/0!</v>
      </c>
      <c r="R146" s="9" t="e">
        <f t="shared" si="61"/>
        <v>#DIV/0!</v>
      </c>
      <c r="S146" s="6" t="e">
        <f t="shared" si="66"/>
        <v>#DIV/0!</v>
      </c>
      <c r="U146" s="9" t="e">
        <f t="shared" si="62"/>
        <v>#DIV/0!</v>
      </c>
      <c r="V146" s="9" t="e">
        <f t="shared" si="63"/>
        <v>#DIV/0!</v>
      </c>
      <c r="W146" s="36" t="e">
        <f t="shared" si="67"/>
        <v>#DIV/0!</v>
      </c>
    </row>
    <row r="147" spans="12:23" x14ac:dyDescent="0.25">
      <c r="L147" s="14">
        <v>9</v>
      </c>
      <c r="M147" s="9" t="e">
        <f t="shared" si="64"/>
        <v>#DIV/0!</v>
      </c>
      <c r="N147" s="9" t="e">
        <f t="shared" si="59"/>
        <v>#DIV/0!</v>
      </c>
      <c r="O147" s="6" t="e">
        <f t="shared" si="65"/>
        <v>#DIV/0!</v>
      </c>
      <c r="Q147" s="9" t="e">
        <f t="shared" si="60"/>
        <v>#DIV/0!</v>
      </c>
      <c r="R147" s="9" t="e">
        <f t="shared" si="61"/>
        <v>#DIV/0!</v>
      </c>
      <c r="S147" s="6" t="e">
        <f t="shared" si="66"/>
        <v>#DIV/0!</v>
      </c>
      <c r="U147" s="9" t="e">
        <f t="shared" si="62"/>
        <v>#DIV/0!</v>
      </c>
      <c r="V147" s="9" t="e">
        <f t="shared" si="63"/>
        <v>#DIV/0!</v>
      </c>
      <c r="W147" s="36" t="e">
        <f t="shared" si="67"/>
        <v>#DIV/0!</v>
      </c>
    </row>
    <row r="148" spans="12:23" ht="15.75" thickBot="1" x14ac:dyDescent="0.3">
      <c r="L148" s="79" t="s">
        <v>71</v>
      </c>
      <c r="M148" s="51" t="e">
        <f>SUM(M139:M147)</f>
        <v>#DIV/0!</v>
      </c>
      <c r="N148" s="51" t="e">
        <f>SUM(N139:N147)</f>
        <v>#DIV/0!</v>
      </c>
      <c r="O148" s="101" t="e">
        <f>M148+(-1*N148)</f>
        <v>#DIV/0!</v>
      </c>
      <c r="P148" s="19"/>
      <c r="Q148" s="51" t="e">
        <f>SUM(Q139:Q147)</f>
        <v>#DIV/0!</v>
      </c>
      <c r="R148" s="51" t="e">
        <f>SUM(R139:R147)</f>
        <v>#DIV/0!</v>
      </c>
      <c r="S148" s="101" t="e">
        <f>Q148+(-1*R148)</f>
        <v>#DIV/0!</v>
      </c>
      <c r="T148" s="19"/>
      <c r="U148" s="51" t="e">
        <f>SUM(U139:U147)</f>
        <v>#DIV/0!</v>
      </c>
      <c r="V148" s="51" t="e">
        <f>SUM(V139:V147)</f>
        <v>#DIV/0!</v>
      </c>
      <c r="W148" s="102" t="e">
        <f>U148+(-1*V148)</f>
        <v>#DIV/0!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H29" sqref="H29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39" t="s">
        <v>139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95"/>
      <c r="P3" s="46" t="s">
        <v>142</v>
      </c>
      <c r="Q3" s="22"/>
      <c r="R3" s="23"/>
    </row>
    <row r="4" spans="2:18" ht="18" x14ac:dyDescent="0.35">
      <c r="B4" s="35" t="s">
        <v>51</v>
      </c>
      <c r="C4" s="55" t="s">
        <v>166</v>
      </c>
      <c r="D4" s="55" t="s">
        <v>165</v>
      </c>
      <c r="E4" s="55" t="s">
        <v>145</v>
      </c>
      <c r="F4" s="55" t="s">
        <v>53</v>
      </c>
      <c r="G4" s="55" t="s">
        <v>48</v>
      </c>
      <c r="H4" s="55" t="s">
        <v>146</v>
      </c>
      <c r="I4" s="55" t="s">
        <v>147</v>
      </c>
      <c r="J4" s="55" t="s">
        <v>148</v>
      </c>
      <c r="K4" s="55" t="s">
        <v>52</v>
      </c>
      <c r="L4" s="55" t="s">
        <v>162</v>
      </c>
      <c r="M4" s="56" t="s">
        <v>149</v>
      </c>
      <c r="N4" s="2"/>
      <c r="P4" s="17" t="s">
        <v>155</v>
      </c>
      <c r="Q4" s="4">
        <v>23.5</v>
      </c>
      <c r="R4" s="15" t="s">
        <v>50</v>
      </c>
    </row>
    <row r="5" spans="2:18" ht="15.75" thickBot="1" x14ac:dyDescent="0.3">
      <c r="B5" s="103" t="s">
        <v>213</v>
      </c>
      <c r="C5" s="104">
        <v>2</v>
      </c>
      <c r="D5" s="104">
        <v>21240</v>
      </c>
      <c r="E5" s="104">
        <v>23950</v>
      </c>
      <c r="F5" s="104">
        <v>1709</v>
      </c>
      <c r="G5" s="104">
        <v>36</v>
      </c>
      <c r="H5" s="104">
        <v>17</v>
      </c>
      <c r="I5" s="104">
        <v>0.8</v>
      </c>
      <c r="J5" s="104">
        <v>1.27</v>
      </c>
      <c r="K5" s="104">
        <v>72.7</v>
      </c>
      <c r="L5" s="104">
        <v>16270</v>
      </c>
      <c r="M5" s="28">
        <f>G5-2*J5</f>
        <v>33.46</v>
      </c>
      <c r="N5" s="5"/>
      <c r="P5" s="47" t="s">
        <v>58</v>
      </c>
      <c r="Q5" s="4">
        <v>21000</v>
      </c>
      <c r="R5" s="15" t="s">
        <v>50</v>
      </c>
    </row>
    <row r="6" spans="2:18" ht="18.75" thickBot="1" x14ac:dyDescent="0.4">
      <c r="P6" s="47" t="s">
        <v>153</v>
      </c>
      <c r="Q6" s="4">
        <v>1</v>
      </c>
      <c r="R6" s="15"/>
    </row>
    <row r="7" spans="2:18" ht="18" x14ac:dyDescent="0.35">
      <c r="B7" s="39" t="s">
        <v>140</v>
      </c>
      <c r="C7" s="37"/>
      <c r="D7" s="37"/>
      <c r="E7" s="37"/>
      <c r="F7" s="37"/>
      <c r="G7" s="37"/>
      <c r="H7" s="37"/>
      <c r="I7" s="37"/>
      <c r="J7" s="37"/>
      <c r="K7" s="22"/>
      <c r="L7" s="22"/>
      <c r="M7" s="22"/>
      <c r="N7" s="38"/>
      <c r="P7" s="47" t="s">
        <v>154</v>
      </c>
      <c r="Q7" s="4">
        <v>1.1000000000000001</v>
      </c>
      <c r="R7" s="15"/>
    </row>
    <row r="8" spans="2:18" ht="18" x14ac:dyDescent="0.35">
      <c r="B8" s="35" t="s">
        <v>51</v>
      </c>
      <c r="C8" s="55" t="s">
        <v>48</v>
      </c>
      <c r="D8" s="55" t="s">
        <v>146</v>
      </c>
      <c r="E8" s="55" t="s">
        <v>147</v>
      </c>
      <c r="F8" s="55" t="s">
        <v>148</v>
      </c>
      <c r="G8" s="55" t="s">
        <v>52</v>
      </c>
      <c r="H8" s="55" t="s">
        <v>162</v>
      </c>
      <c r="I8" s="55" t="s">
        <v>209</v>
      </c>
      <c r="J8" s="55" t="s">
        <v>163</v>
      </c>
      <c r="K8" s="97" t="s">
        <v>211</v>
      </c>
      <c r="L8" s="97" t="s">
        <v>210</v>
      </c>
      <c r="M8" s="97" t="s">
        <v>150</v>
      </c>
      <c r="N8" s="56" t="s">
        <v>149</v>
      </c>
      <c r="P8" s="47" t="s">
        <v>151</v>
      </c>
      <c r="Q8" s="4">
        <v>93.9</v>
      </c>
      <c r="R8" s="15"/>
    </row>
    <row r="9" spans="2:18" ht="18.75" thickBot="1" x14ac:dyDescent="0.4">
      <c r="B9" s="103" t="s">
        <v>212</v>
      </c>
      <c r="C9" s="104">
        <v>65</v>
      </c>
      <c r="D9" s="105">
        <v>30</v>
      </c>
      <c r="E9" s="105">
        <v>1.7</v>
      </c>
      <c r="F9" s="105">
        <v>3.2</v>
      </c>
      <c r="G9" s="105">
        <v>286.3</v>
      </c>
      <c r="H9" s="104">
        <v>256900</v>
      </c>
      <c r="I9" s="104">
        <v>29</v>
      </c>
      <c r="J9" s="104">
        <v>6.87</v>
      </c>
      <c r="K9" s="104">
        <v>0.21</v>
      </c>
      <c r="L9" s="104">
        <v>0.34</v>
      </c>
      <c r="M9" s="104">
        <v>172020</v>
      </c>
      <c r="N9" s="96">
        <f>C9-2*F9</f>
        <v>58.6</v>
      </c>
      <c r="P9" s="47" t="s">
        <v>152</v>
      </c>
      <c r="Q9" s="4">
        <v>1.45</v>
      </c>
      <c r="R9" s="15"/>
    </row>
    <row r="10" spans="2:18" ht="18.75" thickBot="1" x14ac:dyDescent="0.4">
      <c r="P10" s="34" t="s">
        <v>164</v>
      </c>
      <c r="Q10" s="26">
        <v>1.1000000000000001</v>
      </c>
      <c r="R10" s="20"/>
    </row>
    <row r="11" spans="2:18" x14ac:dyDescent="0.25">
      <c r="B11" s="39" t="s">
        <v>141</v>
      </c>
      <c r="C11" s="37"/>
      <c r="D11" s="37"/>
      <c r="E11" s="37"/>
      <c r="F11" s="37"/>
      <c r="G11" s="37"/>
      <c r="H11" s="37"/>
      <c r="I11" s="37"/>
      <c r="J11" s="38"/>
    </row>
    <row r="12" spans="2:18" ht="16.5" x14ac:dyDescent="0.25">
      <c r="B12" s="40" t="s">
        <v>3</v>
      </c>
      <c r="C12" s="41" t="s">
        <v>51</v>
      </c>
      <c r="D12" s="41" t="s">
        <v>143</v>
      </c>
      <c r="E12" s="41" t="s">
        <v>144</v>
      </c>
      <c r="F12" s="41" t="s">
        <v>52</v>
      </c>
      <c r="G12" s="41" t="s">
        <v>54</v>
      </c>
      <c r="H12" s="41" t="s">
        <v>162</v>
      </c>
      <c r="I12" s="43" t="s">
        <v>55</v>
      </c>
      <c r="J12" s="42" t="s">
        <v>150</v>
      </c>
    </row>
    <row r="13" spans="2:18" x14ac:dyDescent="0.25">
      <c r="B13" s="44">
        <v>1</v>
      </c>
      <c r="C13" s="106" t="s">
        <v>204</v>
      </c>
      <c r="D13" s="100">
        <v>193.7</v>
      </c>
      <c r="E13" s="100">
        <v>6</v>
      </c>
      <c r="F13" s="107">
        <v>35.380000000000003</v>
      </c>
      <c r="G13" s="108">
        <v>6.64</v>
      </c>
      <c r="H13" s="109">
        <v>1560</v>
      </c>
      <c r="I13" s="108">
        <v>0.49</v>
      </c>
      <c r="J13" s="110">
        <v>4970.3</v>
      </c>
    </row>
    <row r="14" spans="2:18" x14ac:dyDescent="0.25">
      <c r="B14" s="44">
        <v>2</v>
      </c>
      <c r="C14" s="106" t="s">
        <v>204</v>
      </c>
      <c r="D14" s="100">
        <v>193.7</v>
      </c>
      <c r="E14" s="100">
        <v>6</v>
      </c>
      <c r="F14" s="107">
        <v>35.380000000000003</v>
      </c>
      <c r="G14" s="108">
        <v>6.64</v>
      </c>
      <c r="H14" s="109">
        <v>1560</v>
      </c>
      <c r="I14" s="108">
        <v>0.49</v>
      </c>
      <c r="J14" s="110">
        <v>4970.3</v>
      </c>
    </row>
    <row r="15" spans="2:18" x14ac:dyDescent="0.25">
      <c r="B15" s="44">
        <v>3</v>
      </c>
      <c r="C15" s="106" t="s">
        <v>206</v>
      </c>
      <c r="D15" s="100">
        <v>177.8</v>
      </c>
      <c r="E15" s="100">
        <v>6.3</v>
      </c>
      <c r="F15" s="107">
        <v>32.380000000000003</v>
      </c>
      <c r="G15" s="108">
        <v>6.08</v>
      </c>
      <c r="H15" s="109">
        <v>1196</v>
      </c>
      <c r="I15" s="108">
        <v>0.49</v>
      </c>
      <c r="J15" s="110">
        <v>4164.2</v>
      </c>
    </row>
    <row r="16" spans="2:18" x14ac:dyDescent="0.25">
      <c r="B16" s="44">
        <v>4</v>
      </c>
      <c r="C16" s="106"/>
      <c r="D16" s="100"/>
      <c r="E16" s="100"/>
      <c r="F16" s="107"/>
      <c r="G16" s="108"/>
      <c r="H16" s="109"/>
      <c r="I16" s="108"/>
      <c r="J16" s="110"/>
    </row>
    <row r="17" spans="2:14" x14ac:dyDescent="0.25">
      <c r="B17" s="44">
        <v>5</v>
      </c>
      <c r="C17" s="106"/>
      <c r="D17" s="100"/>
      <c r="E17" s="100"/>
      <c r="F17" s="107"/>
      <c r="G17" s="108"/>
      <c r="H17" s="109"/>
      <c r="I17" s="108"/>
      <c r="J17" s="110"/>
    </row>
    <row r="18" spans="2:14" x14ac:dyDescent="0.25">
      <c r="B18" s="44">
        <v>6</v>
      </c>
      <c r="C18" s="106"/>
      <c r="D18" s="100"/>
      <c r="E18" s="100"/>
      <c r="F18" s="107"/>
      <c r="G18" s="108"/>
      <c r="H18" s="109"/>
      <c r="I18" s="108"/>
      <c r="J18" s="110"/>
    </row>
    <row r="19" spans="2:14" x14ac:dyDescent="0.25">
      <c r="B19" s="44">
        <v>7</v>
      </c>
      <c r="C19" s="106"/>
      <c r="D19" s="100"/>
      <c r="E19" s="100"/>
      <c r="F19" s="107"/>
      <c r="G19" s="108"/>
      <c r="H19" s="109"/>
      <c r="I19" s="108"/>
      <c r="J19" s="110"/>
    </row>
    <row r="20" spans="2:14" x14ac:dyDescent="0.25">
      <c r="B20" s="44">
        <v>8</v>
      </c>
      <c r="C20" s="106"/>
      <c r="D20" s="100"/>
      <c r="E20" s="100"/>
      <c r="F20" s="108"/>
      <c r="G20" s="108"/>
      <c r="H20" s="109"/>
      <c r="I20" s="108"/>
      <c r="J20" s="110"/>
    </row>
    <row r="21" spans="2:14" ht="15.75" thickBot="1" x14ac:dyDescent="0.3">
      <c r="B21" s="45">
        <v>9</v>
      </c>
      <c r="C21" s="105"/>
      <c r="D21" s="104"/>
      <c r="E21" s="104"/>
      <c r="F21" s="117"/>
      <c r="G21" s="117"/>
      <c r="H21" s="118"/>
      <c r="I21" s="119"/>
      <c r="J21" s="120"/>
    </row>
    <row r="25" spans="2:14" x14ac:dyDescent="0.25">
      <c r="B25" s="4"/>
      <c r="C25" s="4"/>
      <c r="D25" s="10"/>
      <c r="E25" s="10"/>
      <c r="F25" s="10"/>
      <c r="G25" s="10"/>
      <c r="H25" s="4"/>
      <c r="I25" s="4"/>
      <c r="J25" s="4"/>
      <c r="K25" s="4"/>
      <c r="L25" s="4"/>
      <c r="M25" s="4"/>
      <c r="N25" s="12"/>
    </row>
  </sheetData>
  <phoneticPr fontId="14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Props1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Loads</vt:lpstr>
      <vt:lpstr>Cross Sections and Materials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2025-04-10T11:57:51Z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