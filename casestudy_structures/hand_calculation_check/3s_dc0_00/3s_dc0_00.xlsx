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Berechnungen/case_study_hand_calcs/3s_dc0_00/"/>
    </mc:Choice>
  </mc:AlternateContent>
  <xr:revisionPtr revIDLastSave="51" documentId="8_{734BA1A8-7719-4F38-AC48-03DB7F9B9FFF}" xr6:coauthVersionLast="47" xr6:coauthVersionMax="47" xr10:uidLastSave="{FCBF36D7-7628-464A-8CB3-23A716C8DAA3}"/>
  <bookViews>
    <workbookView xWindow="-120" yWindow="-120" windowWidth="29040" windowHeight="15720" activeTab="2" xr2:uid="{7D9295CA-11CB-4DE1-B0A9-DFA242247CEC}"/>
  </bookViews>
  <sheets>
    <sheet name="Loads" sheetId="1" r:id="rId1"/>
    <sheet name="Cross Sections and Materials" sheetId="4" r:id="rId2"/>
    <sheet name="Nonseismic_Design" sheetId="3" r:id="rId3"/>
  </sheets>
  <definedNames>
    <definedName name="T">Loads!$C$63</definedName>
    <definedName name="TA">Loads!$C$49</definedName>
    <definedName name="TB">Loads!$C$50</definedName>
    <definedName name="TC">Loads!$C$51</definedName>
    <definedName name="TD">Loads!$C$52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7" i="1" l="1"/>
  <c r="N118" i="1"/>
  <c r="N119" i="1"/>
  <c r="U28" i="1"/>
  <c r="W145" i="1"/>
  <c r="W146" i="1"/>
  <c r="W147" i="1"/>
  <c r="S145" i="1"/>
  <c r="S146" i="1"/>
  <c r="S147" i="1"/>
  <c r="O145" i="1"/>
  <c r="O146" i="1"/>
  <c r="O147" i="1"/>
  <c r="W131" i="1"/>
  <c r="W132" i="1"/>
  <c r="W133" i="1"/>
  <c r="S131" i="1"/>
  <c r="S132" i="1"/>
  <c r="S133" i="1"/>
  <c r="O131" i="1"/>
  <c r="O132" i="1"/>
  <c r="O133" i="1"/>
  <c r="N9" i="4"/>
  <c r="C59" i="1"/>
  <c r="M5" i="4"/>
  <c r="P30" i="1"/>
  <c r="P31" i="1"/>
  <c r="P32" i="1"/>
  <c r="C8" i="1"/>
  <c r="T73" i="1"/>
  <c r="M46" i="1"/>
  <c r="R39" i="1"/>
  <c r="G27" i="1"/>
  <c r="U29" i="1"/>
  <c r="O61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T99" i="1"/>
  <c r="S99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T86" i="1"/>
  <c r="S86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O74" i="1"/>
  <c r="O87" i="1" s="1"/>
  <c r="O100" i="1" s="1"/>
  <c r="O75" i="1"/>
  <c r="O88" i="1" s="1"/>
  <c r="O101" i="1" s="1"/>
  <c r="O76" i="1"/>
  <c r="O89" i="1" s="1"/>
  <c r="O102" i="1" s="1"/>
  <c r="O77" i="1"/>
  <c r="O90" i="1" s="1"/>
  <c r="O103" i="1" s="1"/>
  <c r="O78" i="1"/>
  <c r="O91" i="1" s="1"/>
  <c r="O104" i="1" s="1"/>
  <c r="O79" i="1"/>
  <c r="O92" i="1" s="1"/>
  <c r="O105" i="1" s="1"/>
  <c r="O80" i="1"/>
  <c r="O93" i="1" s="1"/>
  <c r="O106" i="1" s="1"/>
  <c r="O81" i="1"/>
  <c r="O94" i="1" s="1"/>
  <c r="O107" i="1" s="1"/>
  <c r="S73" i="1"/>
  <c r="O73" i="1"/>
  <c r="O86" i="1" s="1"/>
  <c r="O99" i="1" s="1"/>
  <c r="G24" i="1"/>
  <c r="M111" i="1" s="1"/>
  <c r="N111" i="1" s="1"/>
  <c r="G25" i="1"/>
  <c r="G26" i="1"/>
  <c r="G28" i="1"/>
  <c r="G29" i="1"/>
  <c r="M116" i="1" s="1"/>
  <c r="G30" i="1"/>
  <c r="G31" i="1"/>
  <c r="M118" i="1" s="1"/>
  <c r="G32" i="1"/>
  <c r="M119" i="1" s="1"/>
  <c r="C41" i="1"/>
  <c r="C44" i="1" s="1"/>
  <c r="C38" i="1"/>
  <c r="C42" i="1" s="1"/>
  <c r="C45" i="1" s="1"/>
  <c r="O118" i="1" l="1"/>
  <c r="O119" i="1"/>
  <c r="C51" i="1"/>
  <c r="E28" i="1"/>
  <c r="M115" i="1"/>
  <c r="M114" i="1"/>
  <c r="E27" i="1"/>
  <c r="E31" i="1"/>
  <c r="M117" i="1"/>
  <c r="O117" i="1" s="1"/>
  <c r="E30" i="1"/>
  <c r="E32" i="1"/>
  <c r="E29" i="1"/>
  <c r="E24" i="1"/>
  <c r="K24" i="1" s="1"/>
  <c r="P24" i="1" s="1"/>
  <c r="E25" i="1"/>
  <c r="I25" i="1" s="1"/>
  <c r="N25" i="1" s="1"/>
  <c r="E26" i="1"/>
  <c r="J26" i="1" s="1"/>
  <c r="M113" i="1"/>
  <c r="M112" i="1"/>
  <c r="N112" i="1" s="1"/>
  <c r="R64" i="1"/>
  <c r="N114" i="1" l="1"/>
  <c r="N115" i="1"/>
  <c r="N113" i="1"/>
  <c r="O112" i="1"/>
  <c r="C50" i="1"/>
  <c r="C61" i="1" s="1"/>
  <c r="C60" i="1"/>
  <c r="N116" i="1"/>
  <c r="J25" i="1"/>
  <c r="O25" i="1" s="1"/>
  <c r="O116" i="1"/>
  <c r="O111" i="1"/>
  <c r="O113" i="1"/>
  <c r="O114" i="1"/>
  <c r="O115" i="1"/>
  <c r="I24" i="1"/>
  <c r="N24" i="1" s="1"/>
  <c r="I26" i="1"/>
  <c r="N26" i="1" s="1"/>
  <c r="J24" i="1"/>
  <c r="O24" i="1" s="1"/>
  <c r="K26" i="1"/>
  <c r="P26" i="1" s="1"/>
  <c r="K25" i="1"/>
  <c r="P25" i="1" s="1"/>
  <c r="I28" i="1"/>
  <c r="J28" i="1"/>
  <c r="K28" i="1"/>
  <c r="P28" i="1" s="1"/>
  <c r="I32" i="1"/>
  <c r="J32" i="1"/>
  <c r="K32" i="1"/>
  <c r="I29" i="1"/>
  <c r="J29" i="1"/>
  <c r="K29" i="1"/>
  <c r="P29" i="1" s="1"/>
  <c r="I30" i="1"/>
  <c r="J30" i="1"/>
  <c r="K30" i="1"/>
  <c r="J31" i="1"/>
  <c r="I31" i="1"/>
  <c r="K31" i="1"/>
  <c r="J27" i="1"/>
  <c r="K27" i="1"/>
  <c r="P27" i="1" s="1"/>
  <c r="I27" i="1"/>
  <c r="O26" i="1"/>
  <c r="R68" i="1"/>
  <c r="U64" i="1"/>
  <c r="R73" i="3"/>
  <c r="S73" i="3"/>
  <c r="Q73" i="3"/>
  <c r="N73" i="3"/>
  <c r="T73" i="3"/>
  <c r="U73" i="3" s="1"/>
  <c r="L82" i="3"/>
  <c r="K82" i="3"/>
  <c r="O78" i="3" s="1"/>
  <c r="J82" i="3"/>
  <c r="F82" i="3"/>
  <c r="E82" i="3"/>
  <c r="S78" i="3" s="1"/>
  <c r="D82" i="3"/>
  <c r="L76" i="3"/>
  <c r="K76" i="3"/>
  <c r="O77" i="3" s="1"/>
  <c r="J76" i="3"/>
  <c r="F76" i="3"/>
  <c r="E76" i="3"/>
  <c r="S77" i="3" s="1"/>
  <c r="D76" i="3"/>
  <c r="R58" i="3"/>
  <c r="S58" i="3"/>
  <c r="Q58" i="3"/>
  <c r="N58" i="3"/>
  <c r="T58" i="3"/>
  <c r="U58" i="3" s="1"/>
  <c r="L67" i="3"/>
  <c r="K67" i="3"/>
  <c r="O63" i="3" s="1"/>
  <c r="J67" i="3"/>
  <c r="F67" i="3"/>
  <c r="E67" i="3"/>
  <c r="S63" i="3" s="1"/>
  <c r="D67" i="3"/>
  <c r="L61" i="3"/>
  <c r="K61" i="3"/>
  <c r="O62" i="3" s="1"/>
  <c r="J61" i="3"/>
  <c r="F61" i="3"/>
  <c r="E61" i="3"/>
  <c r="S62" i="3" s="1"/>
  <c r="D61" i="3"/>
  <c r="R43" i="3"/>
  <c r="S43" i="3"/>
  <c r="Q43" i="3"/>
  <c r="N43" i="3"/>
  <c r="C4" i="3"/>
  <c r="C5" i="3"/>
  <c r="C6" i="3"/>
  <c r="C3" i="3"/>
  <c r="N28" i="3"/>
  <c r="J28" i="3"/>
  <c r="K28" i="3"/>
  <c r="I28" i="3"/>
  <c r="H28" i="3"/>
  <c r="J13" i="3"/>
  <c r="K13" i="3"/>
  <c r="L13" i="3"/>
  <c r="M13" i="3"/>
  <c r="N13" i="3"/>
  <c r="O13" i="3"/>
  <c r="I13" i="3"/>
  <c r="H13" i="3"/>
  <c r="T43" i="3"/>
  <c r="U43" i="3" s="1"/>
  <c r="F52" i="3"/>
  <c r="E52" i="3"/>
  <c r="S48" i="3" s="1"/>
  <c r="D52" i="3"/>
  <c r="F46" i="3"/>
  <c r="E46" i="3"/>
  <c r="S47" i="3" s="1"/>
  <c r="D46" i="3"/>
  <c r="L52" i="3"/>
  <c r="K52" i="3"/>
  <c r="O48" i="3" s="1"/>
  <c r="J52" i="3"/>
  <c r="L46" i="3"/>
  <c r="K46" i="3"/>
  <c r="O47" i="3" s="1"/>
  <c r="J46" i="3"/>
  <c r="F37" i="3"/>
  <c r="E37" i="3"/>
  <c r="I32" i="3" s="1"/>
  <c r="D37" i="3"/>
  <c r="F31" i="3"/>
  <c r="E31" i="3"/>
  <c r="I31" i="3" s="1"/>
  <c r="D31" i="3"/>
  <c r="F22" i="3"/>
  <c r="E22" i="3"/>
  <c r="J17" i="3" s="1"/>
  <c r="D22" i="3"/>
  <c r="I17" i="3" s="1"/>
  <c r="E16" i="3"/>
  <c r="J16" i="3" s="1"/>
  <c r="F16" i="3"/>
  <c r="D16" i="3"/>
  <c r="I16" i="3" s="1"/>
  <c r="N61" i="1"/>
  <c r="R41" i="1"/>
  <c r="M61" i="1"/>
  <c r="R40" i="1"/>
  <c r="R38" i="1"/>
  <c r="R37" i="1"/>
  <c r="D19" i="1"/>
  <c r="L24" i="1" s="1"/>
  <c r="F40" i="1" s="1"/>
  <c r="L31" i="1" l="1"/>
  <c r="L32" i="1"/>
  <c r="L27" i="1"/>
  <c r="L28" i="1"/>
  <c r="L29" i="1"/>
  <c r="L30" i="1"/>
  <c r="M74" i="1"/>
  <c r="M106" i="1"/>
  <c r="M107" i="1"/>
  <c r="M99" i="1"/>
  <c r="M103" i="1"/>
  <c r="M100" i="1"/>
  <c r="M102" i="1"/>
  <c r="M101" i="1"/>
  <c r="M104" i="1"/>
  <c r="M73" i="1"/>
  <c r="M105" i="1"/>
  <c r="O31" i="1"/>
  <c r="M93" i="1"/>
  <c r="O28" i="1"/>
  <c r="M90" i="1"/>
  <c r="N27" i="1"/>
  <c r="M76" i="1"/>
  <c r="M89" i="1"/>
  <c r="O27" i="1"/>
  <c r="O30" i="1"/>
  <c r="M92" i="1"/>
  <c r="N28" i="1"/>
  <c r="M77" i="1"/>
  <c r="N30" i="1"/>
  <c r="M79" i="1"/>
  <c r="O29" i="1"/>
  <c r="M91" i="1"/>
  <c r="M78" i="1"/>
  <c r="N29" i="1"/>
  <c r="M94" i="1"/>
  <c r="O32" i="1"/>
  <c r="M80" i="1"/>
  <c r="N31" i="1"/>
  <c r="M81" i="1"/>
  <c r="N32" i="1"/>
  <c r="M75" i="1"/>
  <c r="M88" i="1"/>
  <c r="M86" i="1"/>
  <c r="M87" i="1"/>
  <c r="L26" i="1"/>
  <c r="L25" i="1"/>
  <c r="R63" i="1"/>
  <c r="S64" i="1"/>
  <c r="T64" i="1" s="1"/>
  <c r="V64" i="1" s="1"/>
  <c r="S68" i="1"/>
  <c r="T68" i="1" s="1"/>
  <c r="U68" i="1"/>
  <c r="K17" i="3"/>
  <c r="M17" i="3" s="1"/>
  <c r="Y73" i="3"/>
  <c r="T78" i="3" s="1"/>
  <c r="U78" i="3" s="1"/>
  <c r="V73" i="3"/>
  <c r="W73" i="3" s="1"/>
  <c r="X73" i="3" s="1"/>
  <c r="Z73" i="3" s="1"/>
  <c r="P78" i="3" s="1"/>
  <c r="Q78" i="3" s="1"/>
  <c r="Y43" i="3"/>
  <c r="T48" i="3" s="1"/>
  <c r="U48" i="3" s="1"/>
  <c r="Y58" i="3"/>
  <c r="T63" i="3" s="1"/>
  <c r="U63" i="3" s="1"/>
  <c r="V58" i="3"/>
  <c r="W58" i="3" s="1"/>
  <c r="X58" i="3" s="1"/>
  <c r="Z58" i="3" s="1"/>
  <c r="P62" i="3" s="1"/>
  <c r="V43" i="3"/>
  <c r="W43" i="3" s="1"/>
  <c r="X43" i="3" s="1"/>
  <c r="O28" i="3"/>
  <c r="P28" i="3" s="1"/>
  <c r="O17" i="3"/>
  <c r="O16" i="3"/>
  <c r="K16" i="3"/>
  <c r="M16" i="3" s="1"/>
  <c r="R43" i="1"/>
  <c r="R54" i="1" s="1"/>
  <c r="R55" i="1"/>
  <c r="R56" i="1" s="1"/>
  <c r="R57" i="1" s="1"/>
  <c r="R47" i="1"/>
  <c r="R44" i="1"/>
  <c r="R42" i="1"/>
  <c r="R46" i="1" s="1"/>
  <c r="Q30" i="1" l="1"/>
  <c r="F46" i="1"/>
  <c r="F45" i="1"/>
  <c r="Q29" i="1"/>
  <c r="Q28" i="1"/>
  <c r="F44" i="1"/>
  <c r="F43" i="1"/>
  <c r="Q27" i="1"/>
  <c r="F48" i="1"/>
  <c r="Q32" i="1"/>
  <c r="Q31" i="1"/>
  <c r="F47" i="1"/>
  <c r="Q25" i="1"/>
  <c r="F41" i="1"/>
  <c r="Q26" i="1"/>
  <c r="F42" i="1"/>
  <c r="Q24" i="1"/>
  <c r="U63" i="1"/>
  <c r="S63" i="1"/>
  <c r="T63" i="1" s="1"/>
  <c r="V68" i="1"/>
  <c r="R53" i="1"/>
  <c r="T62" i="3"/>
  <c r="U62" i="3" s="1"/>
  <c r="T77" i="3"/>
  <c r="U77" i="3" s="1"/>
  <c r="Q28" i="3"/>
  <c r="R28" i="3" s="1"/>
  <c r="T47" i="3"/>
  <c r="U47" i="3" s="1"/>
  <c r="Z43" i="3"/>
  <c r="P47" i="3" s="1"/>
  <c r="Q47" i="3" s="1"/>
  <c r="P63" i="3"/>
  <c r="Q63" i="3" s="1"/>
  <c r="P77" i="3"/>
  <c r="Q77" i="3" s="1"/>
  <c r="R45" i="1"/>
  <c r="Q62" i="3"/>
  <c r="L16" i="3"/>
  <c r="N16" i="3" s="1"/>
  <c r="P16" i="3" s="1"/>
  <c r="Q16" i="3" s="1"/>
  <c r="L17" i="3"/>
  <c r="N17" i="3" s="1"/>
  <c r="P17" i="3" s="1"/>
  <c r="Q17" i="3" s="1"/>
  <c r="R48" i="1"/>
  <c r="R51" i="1" s="1"/>
  <c r="R49" i="1"/>
  <c r="R50" i="1" s="1"/>
  <c r="R59" i="1"/>
  <c r="F49" i="1" l="1"/>
  <c r="W64" i="1"/>
  <c r="W68" i="1"/>
  <c r="V63" i="1"/>
  <c r="W63" i="1" s="1"/>
  <c r="J32" i="3"/>
  <c r="K32" i="3" s="1"/>
  <c r="J31" i="3"/>
  <c r="K31" i="3" s="1"/>
  <c r="P48" i="3"/>
  <c r="Q48" i="3" s="1"/>
  <c r="P115" i="1" l="1"/>
  <c r="P116" i="1"/>
  <c r="P117" i="1"/>
  <c r="P112" i="1"/>
  <c r="P118" i="1"/>
  <c r="P119" i="1"/>
  <c r="Q117" i="1"/>
  <c r="P111" i="1"/>
  <c r="Q118" i="1"/>
  <c r="Q119" i="1"/>
  <c r="P113" i="1"/>
  <c r="P114" i="1"/>
  <c r="Q112" i="1"/>
  <c r="Q114" i="1"/>
  <c r="Q113" i="1"/>
  <c r="Q115" i="1"/>
  <c r="Q116" i="1"/>
  <c r="Q111" i="1"/>
  <c r="C10" i="1" l="1"/>
  <c r="N102" i="1" l="1"/>
  <c r="N107" i="1"/>
  <c r="N103" i="1"/>
  <c r="N106" i="1"/>
  <c r="N105" i="1"/>
  <c r="N81" i="1"/>
  <c r="N104" i="1"/>
  <c r="N78" i="1"/>
  <c r="N89" i="1"/>
  <c r="N93" i="1"/>
  <c r="N79" i="1"/>
  <c r="N91" i="1"/>
  <c r="N76" i="1"/>
  <c r="N92" i="1"/>
  <c r="N94" i="1"/>
  <c r="N90" i="1"/>
  <c r="N77" i="1"/>
  <c r="N80" i="1"/>
  <c r="G46" i="1"/>
  <c r="G43" i="1"/>
  <c r="G44" i="1"/>
  <c r="G47" i="1"/>
  <c r="G48" i="1"/>
  <c r="G45" i="1"/>
  <c r="N101" i="1"/>
  <c r="N74" i="1"/>
  <c r="N75" i="1"/>
  <c r="N100" i="1"/>
  <c r="N87" i="1"/>
  <c r="N86" i="1"/>
  <c r="N88" i="1"/>
  <c r="N99" i="1"/>
  <c r="N73" i="1"/>
  <c r="V73" i="1" s="1"/>
  <c r="G40" i="1"/>
  <c r="G42" i="1"/>
  <c r="G41" i="1"/>
  <c r="C52" i="1"/>
  <c r="U93" i="1" l="1"/>
  <c r="V93" i="1"/>
  <c r="P93" i="1"/>
  <c r="F58" i="1"/>
  <c r="I45" i="1"/>
  <c r="V91" i="1"/>
  <c r="P91" i="1"/>
  <c r="U91" i="1"/>
  <c r="F61" i="1"/>
  <c r="I48" i="1"/>
  <c r="F60" i="1"/>
  <c r="I47" i="1"/>
  <c r="P77" i="1"/>
  <c r="U77" i="1"/>
  <c r="V77" i="1"/>
  <c r="V103" i="1"/>
  <c r="P103" i="1"/>
  <c r="U103" i="1"/>
  <c r="F57" i="1"/>
  <c r="I44" i="1"/>
  <c r="P89" i="1"/>
  <c r="V89" i="1"/>
  <c r="U89" i="1"/>
  <c r="F56" i="1"/>
  <c r="I43" i="1"/>
  <c r="P78" i="1"/>
  <c r="U78" i="1"/>
  <c r="V78" i="1"/>
  <c r="U80" i="1"/>
  <c r="V80" i="1"/>
  <c r="P80" i="1"/>
  <c r="U90" i="1"/>
  <c r="P90" i="1"/>
  <c r="V90" i="1"/>
  <c r="V106" i="1"/>
  <c r="P106" i="1"/>
  <c r="U106" i="1"/>
  <c r="V92" i="1"/>
  <c r="U92" i="1"/>
  <c r="P92" i="1"/>
  <c r="P107" i="1"/>
  <c r="V107" i="1"/>
  <c r="U107" i="1"/>
  <c r="U79" i="1"/>
  <c r="V79" i="1"/>
  <c r="P79" i="1"/>
  <c r="F59" i="1"/>
  <c r="I46" i="1"/>
  <c r="U104" i="1"/>
  <c r="V104" i="1"/>
  <c r="P104" i="1"/>
  <c r="V81" i="1"/>
  <c r="P81" i="1"/>
  <c r="U81" i="1"/>
  <c r="P105" i="1"/>
  <c r="U105" i="1"/>
  <c r="V105" i="1"/>
  <c r="P94" i="1"/>
  <c r="V94" i="1"/>
  <c r="U94" i="1"/>
  <c r="V76" i="1"/>
  <c r="P76" i="1"/>
  <c r="U76" i="1"/>
  <c r="P102" i="1"/>
  <c r="U102" i="1"/>
  <c r="V102" i="1"/>
  <c r="U88" i="1"/>
  <c r="V88" i="1"/>
  <c r="P88" i="1"/>
  <c r="V87" i="1"/>
  <c r="U87" i="1"/>
  <c r="P87" i="1"/>
  <c r="P100" i="1"/>
  <c r="V100" i="1"/>
  <c r="U100" i="1"/>
  <c r="U75" i="1"/>
  <c r="V75" i="1"/>
  <c r="P75" i="1"/>
  <c r="P86" i="1"/>
  <c r="U86" i="1"/>
  <c r="V86" i="1"/>
  <c r="I41" i="1"/>
  <c r="I42" i="1"/>
  <c r="U74" i="1"/>
  <c r="V74" i="1"/>
  <c r="P74" i="1"/>
  <c r="P101" i="1"/>
  <c r="V101" i="1"/>
  <c r="U101" i="1"/>
  <c r="U73" i="1"/>
  <c r="P73" i="1"/>
  <c r="V99" i="1"/>
  <c r="U99" i="1"/>
  <c r="P99" i="1"/>
  <c r="F53" i="1"/>
  <c r="G49" i="1"/>
  <c r="I40" i="1"/>
  <c r="C69" i="1"/>
  <c r="C64" i="1"/>
  <c r="F55" i="1"/>
  <c r="H61" i="1" l="1"/>
  <c r="I61" i="1"/>
  <c r="H56" i="1"/>
  <c r="I56" i="1"/>
  <c r="I59" i="1"/>
  <c r="H59" i="1"/>
  <c r="H58" i="1"/>
  <c r="I58" i="1"/>
  <c r="H57" i="1"/>
  <c r="I57" i="1"/>
  <c r="M66" i="1"/>
  <c r="V95" i="1"/>
  <c r="U95" i="1"/>
  <c r="N66" i="1"/>
  <c r="I60" i="1"/>
  <c r="H60" i="1"/>
  <c r="U108" i="1"/>
  <c r="V108" i="1"/>
  <c r="V82" i="1"/>
  <c r="U82" i="1"/>
  <c r="I49" i="1"/>
  <c r="O66" i="1"/>
  <c r="I53" i="1"/>
  <c r="H53" i="1"/>
  <c r="H55" i="1"/>
  <c r="I55" i="1"/>
  <c r="M67" i="1" l="1"/>
  <c r="N67" i="1"/>
  <c r="O67" i="1"/>
  <c r="F54" i="1"/>
  <c r="C65" i="1"/>
  <c r="C66" i="1"/>
  <c r="C70" i="1" s="1"/>
  <c r="J40" i="1" s="1"/>
  <c r="O62" i="1" l="1"/>
  <c r="O65" i="1"/>
  <c r="O64" i="1" s="1"/>
  <c r="O63" i="1"/>
  <c r="O58" i="1"/>
  <c r="O57" i="1" s="1"/>
  <c r="J48" i="1"/>
  <c r="J43" i="1"/>
  <c r="J45" i="1"/>
  <c r="J46" i="1"/>
  <c r="J47" i="1"/>
  <c r="J44" i="1"/>
  <c r="M62" i="1"/>
  <c r="M58" i="1"/>
  <c r="M57" i="1" s="1"/>
  <c r="M65" i="1"/>
  <c r="M64" i="1" s="1"/>
  <c r="M63" i="1"/>
  <c r="N58" i="1"/>
  <c r="N57" i="1" s="1"/>
  <c r="N62" i="1"/>
  <c r="N63" i="1"/>
  <c r="N65" i="1"/>
  <c r="N64" i="1" s="1"/>
  <c r="H54" i="1"/>
  <c r="H62" i="1" s="1"/>
  <c r="I54" i="1"/>
  <c r="J42" i="1"/>
  <c r="J41" i="1"/>
  <c r="C67" i="1"/>
  <c r="O59" i="1" l="1"/>
  <c r="O56" i="1" s="1"/>
  <c r="N59" i="1"/>
  <c r="N56" i="1" s="1"/>
  <c r="I62" i="1"/>
  <c r="F64" i="1" s="1"/>
  <c r="J49" i="1"/>
  <c r="M59" i="1"/>
  <c r="M56" i="1" s="1"/>
  <c r="M55" i="1" s="1"/>
  <c r="O55" i="1" l="1"/>
  <c r="O54" i="1" s="1"/>
  <c r="O52" i="1" s="1"/>
  <c r="N55" i="1"/>
  <c r="N54" i="1" s="1"/>
  <c r="N52" i="1" s="1"/>
  <c r="M54" i="1"/>
  <c r="M52" i="1" s="1"/>
  <c r="N125" i="1" s="1"/>
  <c r="U128" i="1" l="1"/>
  <c r="U126" i="1"/>
  <c r="U131" i="1"/>
  <c r="U145" i="1" s="1"/>
  <c r="U129" i="1"/>
  <c r="V131" i="1"/>
  <c r="V145" i="1" s="1"/>
  <c r="V130" i="1"/>
  <c r="V144" i="1" s="1"/>
  <c r="U133" i="1"/>
  <c r="U147" i="1" s="1"/>
  <c r="V128" i="1"/>
  <c r="V142" i="1" s="1"/>
  <c r="U130" i="1"/>
  <c r="U125" i="1"/>
  <c r="V129" i="1"/>
  <c r="V143" i="1" s="1"/>
  <c r="U132" i="1"/>
  <c r="U146" i="1" s="1"/>
  <c r="U127" i="1"/>
  <c r="V125" i="1"/>
  <c r="V139" i="1" s="1"/>
  <c r="V126" i="1"/>
  <c r="V140" i="1" s="1"/>
  <c r="V132" i="1"/>
  <c r="V146" i="1" s="1"/>
  <c r="V127" i="1"/>
  <c r="V141" i="1" s="1"/>
  <c r="V133" i="1"/>
  <c r="V147" i="1" s="1"/>
  <c r="Q127" i="1"/>
  <c r="Q132" i="1"/>
  <c r="Q146" i="1" s="1"/>
  <c r="Q133" i="1"/>
  <c r="Q147" i="1" s="1"/>
  <c r="Q128" i="1"/>
  <c r="Q129" i="1"/>
  <c r="Q131" i="1"/>
  <c r="Q145" i="1" s="1"/>
  <c r="Q125" i="1"/>
  <c r="Q130" i="1"/>
  <c r="Q126" i="1"/>
  <c r="N128" i="1"/>
  <c r="N142" i="1" s="1"/>
  <c r="N132" i="1"/>
  <c r="N146" i="1" s="1"/>
  <c r="R128" i="1"/>
  <c r="R142" i="1" s="1"/>
  <c r="R132" i="1"/>
  <c r="R146" i="1" s="1"/>
  <c r="R125" i="1"/>
  <c r="N133" i="1"/>
  <c r="N147" i="1" s="1"/>
  <c r="M125" i="1"/>
  <c r="O125" i="1" s="1"/>
  <c r="R133" i="1"/>
  <c r="R147" i="1" s="1"/>
  <c r="M126" i="1"/>
  <c r="M132" i="1"/>
  <c r="R129" i="1"/>
  <c r="R143" i="1" s="1"/>
  <c r="R131" i="1"/>
  <c r="R145" i="1" s="1"/>
  <c r="R130" i="1"/>
  <c r="R144" i="1" s="1"/>
  <c r="M133" i="1"/>
  <c r="N130" i="1"/>
  <c r="N144" i="1" s="1"/>
  <c r="N131" i="1"/>
  <c r="N145" i="1" s="1"/>
  <c r="N129" i="1"/>
  <c r="N143" i="1" s="1"/>
  <c r="M129" i="1"/>
  <c r="O129" i="1" s="1"/>
  <c r="M130" i="1"/>
  <c r="O130" i="1" s="1"/>
  <c r="M131" i="1"/>
  <c r="M128" i="1"/>
  <c r="O128" i="1" s="1"/>
  <c r="N126" i="1"/>
  <c r="N140" i="1" s="1"/>
  <c r="N127" i="1"/>
  <c r="N141" i="1" s="1"/>
  <c r="R127" i="1"/>
  <c r="R141" i="1" s="1"/>
  <c r="R126" i="1"/>
  <c r="R140" i="1" s="1"/>
  <c r="M127" i="1"/>
  <c r="O126" i="1" l="1"/>
  <c r="O127" i="1"/>
  <c r="W125" i="1"/>
  <c r="U144" i="1"/>
  <c r="W144" i="1" s="1"/>
  <c r="W130" i="1"/>
  <c r="Q141" i="1"/>
  <c r="S141" i="1" s="1"/>
  <c r="S127" i="1"/>
  <c r="U143" i="1"/>
  <c r="W143" i="1" s="1"/>
  <c r="W129" i="1"/>
  <c r="Q142" i="1"/>
  <c r="S142" i="1" s="1"/>
  <c r="S128" i="1"/>
  <c r="Q140" i="1"/>
  <c r="S140" i="1" s="1"/>
  <c r="S126" i="1"/>
  <c r="U140" i="1"/>
  <c r="W140" i="1" s="1"/>
  <c r="W126" i="1"/>
  <c r="Q143" i="1"/>
  <c r="S143" i="1" s="1"/>
  <c r="S129" i="1"/>
  <c r="Q144" i="1"/>
  <c r="S144" i="1" s="1"/>
  <c r="S130" i="1"/>
  <c r="S125" i="1"/>
  <c r="U141" i="1"/>
  <c r="W141" i="1" s="1"/>
  <c r="W127" i="1"/>
  <c r="U142" i="1"/>
  <c r="W142" i="1" s="1"/>
  <c r="W128" i="1"/>
  <c r="V148" i="1"/>
  <c r="U139" i="1"/>
  <c r="U134" i="1"/>
  <c r="V134" i="1"/>
  <c r="Q134" i="1"/>
  <c r="Q139" i="1"/>
  <c r="M147" i="1"/>
  <c r="M140" i="1"/>
  <c r="O140" i="1" s="1"/>
  <c r="M141" i="1"/>
  <c r="O141" i="1" s="1"/>
  <c r="M146" i="1"/>
  <c r="M145" i="1"/>
  <c r="M142" i="1"/>
  <c r="O142" i="1" s="1"/>
  <c r="M144" i="1"/>
  <c r="O144" i="1" s="1"/>
  <c r="M143" i="1"/>
  <c r="O143" i="1" s="1"/>
  <c r="N139" i="1"/>
  <c r="N148" i="1" s="1"/>
  <c r="N134" i="1"/>
  <c r="M139" i="1"/>
  <c r="M134" i="1"/>
  <c r="R139" i="1"/>
  <c r="R148" i="1" s="1"/>
  <c r="R134" i="1"/>
  <c r="O134" i="1" l="1"/>
  <c r="U148" i="1"/>
  <c r="W148" i="1" s="1"/>
  <c r="W139" i="1"/>
  <c r="Q148" i="1"/>
  <c r="S139" i="1"/>
  <c r="O139" i="1"/>
  <c r="W134" i="1"/>
  <c r="S134" i="1"/>
  <c r="S148" i="1"/>
  <c r="M148" i="1"/>
  <c r="O148" i="1" s="1"/>
</calcChain>
</file>

<file path=xl/sharedStrings.xml><?xml version="1.0" encoding="utf-8"?>
<sst xmlns="http://schemas.openxmlformats.org/spreadsheetml/2006/main" count="594" uniqueCount="259">
  <si>
    <t>Building Width</t>
  </si>
  <si>
    <t>G [kPa]</t>
  </si>
  <si>
    <t>Q [kPa]</t>
  </si>
  <si>
    <t>Storey</t>
  </si>
  <si>
    <t>W_i [kN]</t>
  </si>
  <si>
    <t>m</t>
  </si>
  <si>
    <t>g</t>
  </si>
  <si>
    <t>m/s²</t>
  </si>
  <si>
    <t>s</t>
  </si>
  <si>
    <t>Period est.</t>
  </si>
  <si>
    <t>S_alpha_475</t>
  </si>
  <si>
    <t>S_beta_475</t>
  </si>
  <si>
    <t>Soil Class</t>
  </si>
  <si>
    <t>C</t>
  </si>
  <si>
    <t>FT</t>
  </si>
  <si>
    <t>F_alpha</t>
  </si>
  <si>
    <t>F_beta</t>
  </si>
  <si>
    <r>
      <t>S</t>
    </r>
    <r>
      <rPr>
        <vertAlign val="subscript"/>
        <sz val="11"/>
        <color theme="1"/>
        <rFont val="Aptos Narrow"/>
        <family val="2"/>
      </rPr>
      <t>α</t>
    </r>
  </si>
  <si>
    <r>
      <t>S</t>
    </r>
    <r>
      <rPr>
        <vertAlign val="subscript"/>
        <sz val="11"/>
        <color theme="1"/>
        <rFont val="Aptos Narrow"/>
        <family val="2"/>
      </rPr>
      <t>ϐ</t>
    </r>
  </si>
  <si>
    <t>T_A</t>
  </si>
  <si>
    <t>T_B</t>
  </si>
  <si>
    <t>T_C</t>
  </si>
  <si>
    <t>T_D</t>
  </si>
  <si>
    <r>
      <t>T_</t>
    </r>
    <r>
      <rPr>
        <sz val="11"/>
        <color theme="1"/>
        <rFont val="Aptos Narrow"/>
        <family val="2"/>
      </rPr>
      <t>β</t>
    </r>
  </si>
  <si>
    <t>F_A</t>
  </si>
  <si>
    <t>χ</t>
  </si>
  <si>
    <t>S_e(T)</t>
  </si>
  <si>
    <t>eta</t>
  </si>
  <si>
    <t>V_base</t>
  </si>
  <si>
    <t>lambda</t>
  </si>
  <si>
    <t>No. Storeys</t>
  </si>
  <si>
    <t>kN</t>
  </si>
  <si>
    <t>F_i [kN]</t>
  </si>
  <si>
    <t>hi [m]</t>
  </si>
  <si>
    <t>Hi [m]</t>
  </si>
  <si>
    <t>m_i [t]</t>
  </si>
  <si>
    <t>mi * Hi</t>
  </si>
  <si>
    <t>si [m]</t>
  </si>
  <si>
    <t xml:space="preserve"> --&gt; Period Check: ec8-1-2:2023 §5.3.3(3)</t>
  </si>
  <si>
    <t>mi * si</t>
  </si>
  <si>
    <t>mi * si²</t>
  </si>
  <si>
    <t>R_q</t>
  </si>
  <si>
    <t>q_max</t>
  </si>
  <si>
    <t>q_d</t>
  </si>
  <si>
    <t>q_R</t>
  </si>
  <si>
    <t>q_S</t>
  </si>
  <si>
    <t>S_r(T)</t>
  </si>
  <si>
    <r>
      <t>Period, T</t>
    </r>
    <r>
      <rPr>
        <vertAlign val="subscript"/>
        <sz val="11"/>
        <color theme="1"/>
        <rFont val="Aptos Narrow"/>
        <family val="2"/>
        <scheme val="minor"/>
      </rPr>
      <t>1</t>
    </r>
  </si>
  <si>
    <t>h [cm]</t>
  </si>
  <si>
    <t>q_disp</t>
  </si>
  <si>
    <t>fy</t>
  </si>
  <si>
    <t>kN/cm²</t>
  </si>
  <si>
    <t>gamma_M0</t>
  </si>
  <si>
    <t>Section</t>
  </si>
  <si>
    <t>A [cm²]</t>
  </si>
  <si>
    <t>Npl,Rd [kN]</t>
  </si>
  <si>
    <t>η</t>
  </si>
  <si>
    <t>L [cm]</t>
  </si>
  <si>
    <t>i [cm]</t>
  </si>
  <si>
    <t>Lcr [cm]</t>
  </si>
  <si>
    <r>
      <t>λ</t>
    </r>
    <r>
      <rPr>
        <vertAlign val="subscript"/>
        <sz val="11"/>
        <color theme="1"/>
        <rFont val="Aptos Narrow"/>
        <family val="2"/>
      </rPr>
      <t>1</t>
    </r>
  </si>
  <si>
    <t>λ_bar</t>
  </si>
  <si>
    <t>α</t>
  </si>
  <si>
    <t>Φ</t>
  </si>
  <si>
    <t>Nb,Rd [kN]</t>
  </si>
  <si>
    <t>Beam Trib width</t>
  </si>
  <si>
    <t>E</t>
  </si>
  <si>
    <t>M_Ed</t>
  </si>
  <si>
    <t>V_Ed</t>
  </si>
  <si>
    <t>N_Ed</t>
  </si>
  <si>
    <t>Mpl,Rd</t>
  </si>
  <si>
    <t>Npl,Rd</t>
  </si>
  <si>
    <t>hw</t>
  </si>
  <si>
    <t>tw</t>
  </si>
  <si>
    <t>A</t>
  </si>
  <si>
    <t>M-N int</t>
  </si>
  <si>
    <t>n</t>
  </si>
  <si>
    <t>a*</t>
  </si>
  <si>
    <t>b</t>
  </si>
  <si>
    <t>tf</t>
  </si>
  <si>
    <r>
      <t>η</t>
    </r>
    <r>
      <rPr>
        <b/>
        <vertAlign val="subscript"/>
        <sz val="11"/>
        <color theme="1"/>
        <rFont val="Calibri"/>
        <family val="2"/>
      </rPr>
      <t>N</t>
    </r>
  </si>
  <si>
    <r>
      <t>η</t>
    </r>
    <r>
      <rPr>
        <b/>
        <vertAlign val="subscript"/>
        <sz val="11"/>
        <color theme="1"/>
        <rFont val="Calibri"/>
        <family val="2"/>
      </rPr>
      <t>M</t>
    </r>
  </si>
  <si>
    <t>M_N,Rd</t>
  </si>
  <si>
    <t>gamma_M1</t>
  </si>
  <si>
    <t>γ</t>
  </si>
  <si>
    <t>G</t>
  </si>
  <si>
    <t>Q</t>
  </si>
  <si>
    <t>W</t>
  </si>
  <si>
    <t>I</t>
  </si>
  <si>
    <t>φ</t>
  </si>
  <si>
    <t>GQEI</t>
  </si>
  <si>
    <t>Floor Loads [kPa]</t>
  </si>
  <si>
    <t>Beam UDLs [kN/m]</t>
  </si>
  <si>
    <t>LC1</t>
  </si>
  <si>
    <t>LC2</t>
  </si>
  <si>
    <t>Stab</t>
  </si>
  <si>
    <t>G+Q</t>
  </si>
  <si>
    <t>Σ</t>
  </si>
  <si>
    <t>Floor Loads</t>
  </si>
  <si>
    <t>Seismic Loads --&gt; EC8-1-1:2022</t>
  </si>
  <si>
    <t>Wind Loads --&gt; EC1-4:2010</t>
  </si>
  <si>
    <t>Windzone</t>
  </si>
  <si>
    <t>v_b0</t>
  </si>
  <si>
    <t>m/s</t>
  </si>
  <si>
    <t>q_b0</t>
  </si>
  <si>
    <t>c_pe_wind</t>
  </si>
  <si>
    <t>c_pe_lee</t>
  </si>
  <si>
    <t>c_0</t>
  </si>
  <si>
    <t>z_0</t>
  </si>
  <si>
    <t>k_I</t>
  </si>
  <si>
    <t>z_min</t>
  </si>
  <si>
    <t>c_dir</t>
  </si>
  <si>
    <t>c_season</t>
  </si>
  <si>
    <t>Terrain Cat.</t>
  </si>
  <si>
    <t>Topography</t>
  </si>
  <si>
    <t>Flat</t>
  </si>
  <si>
    <t>c_r</t>
  </si>
  <si>
    <t>k_r</t>
  </si>
  <si>
    <t>v_b</t>
  </si>
  <si>
    <t>v_m [m/s]</t>
  </si>
  <si>
    <t>ρ</t>
  </si>
  <si>
    <t>kg/m³</t>
  </si>
  <si>
    <t>I_v</t>
  </si>
  <si>
    <t>q_p [kPa]</t>
  </si>
  <si>
    <t>h</t>
  </si>
  <si>
    <t>d</t>
  </si>
  <si>
    <t>h/d</t>
  </si>
  <si>
    <t>Building Depth</t>
  </si>
  <si>
    <t>Lateral Trib width</t>
  </si>
  <si>
    <t>&lt;-- tributary width for seismic mass / lateral loads</t>
  </si>
  <si>
    <t>cscd</t>
  </si>
  <si>
    <t>alpha</t>
  </si>
  <si>
    <t>L(z)</t>
  </si>
  <si>
    <t>B²</t>
  </si>
  <si>
    <t>R²</t>
  </si>
  <si>
    <t>SL</t>
  </si>
  <si>
    <t>Ks</t>
  </si>
  <si>
    <t>G_y</t>
  </si>
  <si>
    <t>G_z</t>
  </si>
  <si>
    <t>φy</t>
  </si>
  <si>
    <t>zs</t>
  </si>
  <si>
    <t>vm(zs)</t>
  </si>
  <si>
    <t>c_r(zs)</t>
  </si>
  <si>
    <t>φz</t>
  </si>
  <si>
    <t>f_L</t>
  </si>
  <si>
    <t>δs</t>
  </si>
  <si>
    <t>δa</t>
  </si>
  <si>
    <t>cf</t>
  </si>
  <si>
    <t>d/b</t>
  </si>
  <si>
    <t>cf,0</t>
  </si>
  <si>
    <t>ψ_λ</t>
  </si>
  <si>
    <t>λ</t>
  </si>
  <si>
    <t>h/b</t>
  </si>
  <si>
    <t>l/b</t>
  </si>
  <si>
    <t>ψ_r</t>
  </si>
  <si>
    <t>si²</t>
  </si>
  <si>
    <t>δ</t>
  </si>
  <si>
    <t>kp</t>
  </si>
  <si>
    <t>I_v(zs)</t>
  </si>
  <si>
    <t>trib_h [m]</t>
  </si>
  <si>
    <t>m [t/m]</t>
  </si>
  <si>
    <t>Φ²</t>
  </si>
  <si>
    <t>F_wind</t>
  </si>
  <si>
    <t>F_lee</t>
  </si>
  <si>
    <r>
      <t xml:space="preserve">F_w [kN] -  </t>
    </r>
    <r>
      <rPr>
        <b/>
        <sz val="11"/>
        <color theme="1"/>
        <rFont val="Aptos Narrow"/>
        <family val="2"/>
      </rPr>
      <t>design loads</t>
    </r>
  </si>
  <si>
    <t xml:space="preserve"> --&gt; The sign for the axial force is reversed so that it corresponds with the opensees code (-ve values at end i are tension, +ve values are compression)</t>
  </si>
  <si>
    <t>Demands</t>
  </si>
  <si>
    <t>Verification</t>
  </si>
  <si>
    <t>Beams</t>
  </si>
  <si>
    <t>Columns</t>
  </si>
  <si>
    <t xml:space="preserve"> --&gt; maximum compression force is larger than the maximum tension force. </t>
  </si>
  <si>
    <t xml:space="preserve"> --&gt; The fact that the buckling check passes means that the tension check on the same section will pass as well</t>
  </si>
  <si>
    <t>Braces</t>
  </si>
  <si>
    <t>Compression</t>
  </si>
  <si>
    <t>Tension</t>
  </si>
  <si>
    <t>Tension / min. Compression</t>
  </si>
  <si>
    <t xml:space="preserve"> max. Compression</t>
  </si>
  <si>
    <t>l [cm]</t>
  </si>
  <si>
    <t xml:space="preserve"> --&gt; buckling length of the brace assumed to be 80% of the length between the brace end nodes. This follows e8 for gussets allowing out of plane rotation. Conservative for stiffer gussets</t>
  </si>
  <si>
    <t>Braces - L1</t>
  </si>
  <si>
    <t>β</t>
  </si>
  <si>
    <t>Braces - L2</t>
  </si>
  <si>
    <t>Materials</t>
  </si>
  <si>
    <t>D [mm]</t>
  </si>
  <si>
    <t>t [mm]</t>
  </si>
  <si>
    <t>Mpl,Rd [kNcm]</t>
  </si>
  <si>
    <t>b [cm]</t>
  </si>
  <si>
    <t>tw [cm]</t>
  </si>
  <si>
    <t>tf [cm]</t>
  </si>
  <si>
    <t>hw [cm]</t>
  </si>
  <si>
    <t>M_pl,Rd [kNcm]</t>
  </si>
  <si>
    <r>
      <t>λ</t>
    </r>
    <r>
      <rPr>
        <b/>
        <vertAlign val="subscript"/>
        <sz val="11"/>
        <color theme="1"/>
        <rFont val="Aptos Narrow"/>
        <family val="2"/>
      </rPr>
      <t>1</t>
    </r>
  </si>
  <si>
    <r>
      <t>ω</t>
    </r>
    <r>
      <rPr>
        <b/>
        <vertAlign val="subscript"/>
        <sz val="11"/>
        <color theme="1"/>
        <rFont val="Aptos Narrow"/>
        <family val="2"/>
      </rPr>
      <t>rm</t>
    </r>
  </si>
  <si>
    <r>
      <rPr>
        <b/>
        <sz val="11"/>
        <color theme="1"/>
        <rFont val="Aptos Narrow"/>
        <family val="2"/>
      </rPr>
      <t>γ</t>
    </r>
    <r>
      <rPr>
        <b/>
        <vertAlign val="subscript"/>
        <sz val="11"/>
        <color theme="1"/>
        <rFont val="Aptos Narrow"/>
        <family val="2"/>
      </rPr>
      <t>M0</t>
    </r>
  </si>
  <si>
    <r>
      <t>γ</t>
    </r>
    <r>
      <rPr>
        <b/>
        <vertAlign val="subscript"/>
        <sz val="11"/>
        <color theme="1"/>
        <rFont val="Aptos Narrow"/>
        <family val="2"/>
      </rPr>
      <t>M1</t>
    </r>
  </si>
  <si>
    <r>
      <t>f</t>
    </r>
    <r>
      <rPr>
        <b/>
        <vertAlign val="subscript"/>
        <sz val="11"/>
        <color theme="1"/>
        <rFont val="Aptos Narrow"/>
        <family val="2"/>
        <scheme val="minor"/>
      </rPr>
      <t>y</t>
    </r>
  </si>
  <si>
    <t>Partial Safety Factors and Combination Factors</t>
  </si>
  <si>
    <r>
      <t>ψ</t>
    </r>
    <r>
      <rPr>
        <b/>
        <vertAlign val="subscript"/>
        <sz val="11"/>
        <color theme="1"/>
        <rFont val="Aptos Narrow"/>
        <family val="2"/>
      </rPr>
      <t>0</t>
    </r>
  </si>
  <si>
    <r>
      <t>ψ</t>
    </r>
    <r>
      <rPr>
        <b/>
        <vertAlign val="subscript"/>
        <sz val="11"/>
        <color theme="1"/>
        <rFont val="Aptos Narrow"/>
        <family val="2"/>
      </rPr>
      <t>1</t>
    </r>
  </si>
  <si>
    <r>
      <t>ψ</t>
    </r>
    <r>
      <rPr>
        <b/>
        <vertAlign val="subscript"/>
        <sz val="11"/>
        <color theme="1"/>
        <rFont val="Aptos Narrow"/>
        <family val="2"/>
      </rPr>
      <t>2</t>
    </r>
  </si>
  <si>
    <r>
      <t>ψ</t>
    </r>
    <r>
      <rPr>
        <b/>
        <vertAlign val="subscript"/>
        <sz val="11"/>
        <color theme="1"/>
        <rFont val="Aptos Narrow"/>
        <family val="2"/>
      </rPr>
      <t>E</t>
    </r>
  </si>
  <si>
    <t>&lt;-- check this is the correct height</t>
  </si>
  <si>
    <t>Braces - L3</t>
  </si>
  <si>
    <r>
      <t>Iy [cm</t>
    </r>
    <r>
      <rPr>
        <b/>
        <vertAlign val="super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]</t>
    </r>
  </si>
  <si>
    <t>i_z [cm]</t>
  </si>
  <si>
    <r>
      <t>ω</t>
    </r>
    <r>
      <rPr>
        <b/>
        <vertAlign val="subscript"/>
        <sz val="11"/>
        <color theme="1"/>
        <rFont val="Aptos Narrow"/>
        <family val="2"/>
      </rPr>
      <t>sh</t>
    </r>
  </si>
  <si>
    <t>Mel,Rd [kNcm]</t>
  </si>
  <si>
    <t>Seciton Class</t>
  </si>
  <si>
    <t>z</t>
  </si>
  <si>
    <t>w_e [kPa]</t>
  </si>
  <si>
    <t>z_b</t>
  </si>
  <si>
    <t>z_h</t>
  </si>
  <si>
    <t>h-dh</t>
  </si>
  <si>
    <t>h+dh</t>
  </si>
  <si>
    <t xml:space="preserve"> H_i [m]</t>
  </si>
  <si>
    <r>
      <t xml:space="preserve">F_w [kN] -  </t>
    </r>
    <r>
      <rPr>
        <b/>
        <sz val="11"/>
        <color theme="1"/>
        <rFont val="Aptos Narrow"/>
        <family val="2"/>
      </rPr>
      <t>Characteristic loads</t>
    </r>
  </si>
  <si>
    <t>Windward wind pressure calculations</t>
  </si>
  <si>
    <t>Leeward wind pressure calculations</t>
  </si>
  <si>
    <t>ΣF  kN/m width</t>
  </si>
  <si>
    <t>case 1: h&lt;b</t>
  </si>
  <si>
    <t>case 2: h&lt;2b</t>
  </si>
  <si>
    <t>case 2: h&gt;2b</t>
  </si>
  <si>
    <t>Frame Trib width</t>
  </si>
  <si>
    <t>LC3</t>
  </si>
  <si>
    <t>GQWSI</t>
  </si>
  <si>
    <t>GWQSI</t>
  </si>
  <si>
    <t>GSQWI</t>
  </si>
  <si>
    <t>S</t>
  </si>
  <si>
    <t>ν [Hz]</t>
  </si>
  <si>
    <t>n1,x  [Hz ]</t>
  </si>
  <si>
    <t>me  [kg/m]</t>
  </si>
  <si>
    <t>S [kPa]</t>
  </si>
  <si>
    <t>Snow Loads --&gt; EC1-3:2010</t>
  </si>
  <si>
    <t>sk</t>
  </si>
  <si>
    <t>Ground snow load</t>
  </si>
  <si>
    <t>kPa</t>
  </si>
  <si>
    <t>Roof slope</t>
  </si>
  <si>
    <t>°</t>
  </si>
  <si>
    <t>Ce</t>
  </si>
  <si>
    <t>Ct</t>
  </si>
  <si>
    <t>Shape factor</t>
  </si>
  <si>
    <r>
      <t>μ</t>
    </r>
    <r>
      <rPr>
        <vertAlign val="subscript"/>
        <sz val="11"/>
        <color theme="1"/>
        <rFont val="Aptos Narrow"/>
        <family val="2"/>
      </rPr>
      <t>1</t>
    </r>
  </si>
  <si>
    <t>Roof snow load</t>
  </si>
  <si>
    <t>LC1 - GQWSI</t>
  </si>
  <si>
    <t>W_i[kN]</t>
  </si>
  <si>
    <t>CHS 193.7x6</t>
  </si>
  <si>
    <t>q_design</t>
  </si>
  <si>
    <t>CHS 177.8x6.3</t>
  </si>
  <si>
    <t>&lt;-- tributary width for gravity loads</t>
  </si>
  <si>
    <t>&lt;-- tributary width for beam UDL for gravity loads</t>
  </si>
  <si>
    <t>i_y [cm]</t>
  </si>
  <si>
    <t>αz</t>
  </si>
  <si>
    <t>αy</t>
  </si>
  <si>
    <t>HEB 650</t>
  </si>
  <si>
    <t>IPE 360</t>
  </si>
  <si>
    <t>LC3 - GQWSI</t>
  </si>
  <si>
    <t>LC2 - GQWSI</t>
  </si>
  <si>
    <t>LC4 - GQEI</t>
  </si>
  <si>
    <t>General Building 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</si>
</sst>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0.0000000"/>
  </numFmts>
  <fonts count="2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0070C0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</font>
    <font>
      <i/>
      <u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Aptos Narrow"/>
      <family val="2"/>
      <scheme val="minor"/>
    </font>
    <font>
      <b/>
      <vertAlign val="subscript"/>
      <sz val="11"/>
      <color theme="1"/>
      <name val="Calibri"/>
      <family val="2"/>
    </font>
    <font>
      <b/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</font>
    <font>
      <sz val="8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rgb="FF0070C0"/>
      <name val="Aptos Narrow"/>
      <family val="2"/>
      <scheme val="minor"/>
    </font>
    <font>
      <sz val="11"/>
      <color rgb="FF0070C0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2" fontId="5" fillId="0" borderId="0" xfId="0" applyNumberFormat="1" applyFont="1"/>
    <xf numFmtId="2" fontId="5" fillId="0" borderId="1" xfId="0" applyNumberFormat="1" applyFont="1" applyBorder="1"/>
    <xf numFmtId="164" fontId="5" fillId="0" borderId="0" xfId="0" applyNumberFormat="1" applyFont="1"/>
    <xf numFmtId="165" fontId="5" fillId="0" borderId="0" xfId="0" applyNumberFormat="1" applyFont="1"/>
    <xf numFmtId="0" fontId="10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5" fillId="0" borderId="0" xfId="0" applyNumberFormat="1" applyFont="1"/>
    <xf numFmtId="0" fontId="11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5" fontId="0" fillId="0" borderId="0" xfId="0" applyNumberFormat="1"/>
    <xf numFmtId="0" fontId="0" fillId="0" borderId="2" xfId="0" applyBorder="1"/>
    <xf numFmtId="0" fontId="0" fillId="0" borderId="3" xfId="0" applyBorder="1"/>
    <xf numFmtId="0" fontId="3" fillId="0" borderId="2" xfId="0" applyFont="1" applyBorder="1"/>
    <xf numFmtId="0" fontId="2" fillId="0" borderId="2" xfId="0" applyFont="1" applyBorder="1"/>
    <xf numFmtId="0" fontId="0" fillId="0" borderId="4" xfId="0" applyBorder="1"/>
    <xf numFmtId="165" fontId="5" fillId="0" borderId="5" xfId="0" applyNumberFormat="1" applyFont="1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0" borderId="3" xfId="0" applyFont="1" applyBorder="1" applyAlignment="1">
      <alignment horizontal="center"/>
    </xf>
    <xf numFmtId="0" fontId="4" fillId="0" borderId="3" xfId="0" applyFont="1" applyBorder="1"/>
    <xf numFmtId="0" fontId="5" fillId="0" borderId="3" xfId="0" applyFont="1" applyBorder="1"/>
    <xf numFmtId="0" fontId="1" fillId="0" borderId="5" xfId="0" applyFont="1" applyBorder="1"/>
    <xf numFmtId="0" fontId="5" fillId="0" borderId="5" xfId="0" applyFont="1" applyBorder="1"/>
    <xf numFmtId="0" fontId="5" fillId="0" borderId="6" xfId="0" applyFont="1" applyBorder="1"/>
    <xf numFmtId="0" fontId="2" fillId="2" borderId="8" xfId="0" applyFont="1" applyFill="1" applyBorder="1"/>
    <xf numFmtId="0" fontId="2" fillId="2" borderId="9" xfId="0" applyFont="1" applyFill="1" applyBorder="1"/>
    <xf numFmtId="165" fontId="5" fillId="0" borderId="3" xfId="0" applyNumberFormat="1" applyFont="1" applyBorder="1"/>
    <xf numFmtId="0" fontId="2" fillId="0" borderId="3" xfId="0" applyFont="1" applyBorder="1"/>
    <xf numFmtId="0" fontId="0" fillId="0" borderId="2" xfId="0" applyBorder="1" applyAlignment="1">
      <alignment vertical="center"/>
    </xf>
    <xf numFmtId="164" fontId="5" fillId="0" borderId="5" xfId="0" applyNumberFormat="1" applyFont="1" applyBorder="1"/>
    <xf numFmtId="0" fontId="5" fillId="0" borderId="10" xfId="0" applyFont="1" applyBorder="1"/>
    <xf numFmtId="164" fontId="5" fillId="0" borderId="10" xfId="0" applyNumberFormat="1" applyFont="1" applyBorder="1"/>
    <xf numFmtId="0" fontId="2" fillId="0" borderId="1" xfId="0" applyFont="1" applyBorder="1" applyAlignment="1">
      <alignment horizontal="center"/>
    </xf>
    <xf numFmtId="0" fontId="1" fillId="0" borderId="3" xfId="0" applyFont="1" applyBorder="1"/>
    <xf numFmtId="0" fontId="5" fillId="0" borderId="14" xfId="0" applyFont="1" applyBorder="1"/>
    <xf numFmtId="0" fontId="2" fillId="0" borderId="15" xfId="0" applyFont="1" applyBorder="1" applyAlignment="1">
      <alignment horizontal="center"/>
    </xf>
    <xf numFmtId="0" fontId="1" fillId="0" borderId="2" xfId="0" applyFont="1" applyBorder="1"/>
    <xf numFmtId="0" fontId="4" fillId="0" borderId="4" xfId="0" applyFont="1" applyBorder="1"/>
    <xf numFmtId="0" fontId="5" fillId="0" borderId="5" xfId="0" applyFont="1" applyBorder="1" applyAlignment="1">
      <alignment horizontal="right"/>
    </xf>
    <xf numFmtId="1" fontId="5" fillId="0" borderId="5" xfId="0" applyNumberFormat="1" applyFont="1" applyBorder="1"/>
    <xf numFmtId="0" fontId="2" fillId="0" borderId="6" xfId="0" applyFont="1" applyBorder="1"/>
    <xf numFmtId="0" fontId="2" fillId="0" borderId="16" xfId="0" applyFont="1" applyBorder="1" applyAlignment="1">
      <alignment horizontal="center"/>
    </xf>
    <xf numFmtId="0" fontId="1" fillId="0" borderId="17" xfId="0" applyFont="1" applyBorder="1"/>
    <xf numFmtId="0" fontId="0" fillId="0" borderId="0" xfId="0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5" fillId="0" borderId="3" xfId="0" applyNumberFormat="1" applyFont="1" applyBorder="1"/>
    <xf numFmtId="164" fontId="3" fillId="0" borderId="5" xfId="0" applyNumberFormat="1" applyFont="1" applyBorder="1" applyAlignment="1">
      <alignment horizontal="right"/>
    </xf>
    <xf numFmtId="0" fontId="2" fillId="0" borderId="5" xfId="0" applyFont="1" applyBorder="1"/>
    <xf numFmtId="0" fontId="2" fillId="2" borderId="18" xfId="0" applyFont="1" applyFill="1" applyBorder="1"/>
    <xf numFmtId="0" fontId="2" fillId="2" borderId="11" xfId="0" applyFont="1" applyFill="1" applyBorder="1"/>
    <xf numFmtId="0" fontId="2" fillId="2" borderId="19" xfId="0" applyFont="1" applyFill="1" applyBorder="1"/>
    <xf numFmtId="0" fontId="2" fillId="0" borderId="13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15" xfId="0" applyFont="1" applyBorder="1"/>
    <xf numFmtId="165" fontId="12" fillId="2" borderId="8" xfId="0" applyNumberFormat="1" applyFont="1" applyFill="1" applyBorder="1"/>
    <xf numFmtId="165" fontId="12" fillId="2" borderId="9" xfId="0" applyNumberFormat="1" applyFont="1" applyFill="1" applyBorder="1"/>
    <xf numFmtId="164" fontId="0" fillId="0" borderId="0" xfId="0" applyNumberFormat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2" fillId="0" borderId="21" xfId="0" applyFont="1" applyBorder="1" applyAlignment="1">
      <alignment horizontal="center"/>
    </xf>
    <xf numFmtId="1" fontId="5" fillId="0" borderId="2" xfId="0" applyNumberFormat="1" applyFont="1" applyBorder="1"/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164" fontId="16" fillId="0" borderId="5" xfId="0" applyNumberFormat="1" applyFont="1" applyBorder="1" applyAlignment="1">
      <alignment horizontal="right"/>
    </xf>
    <xf numFmtId="2" fontId="5" fillId="0" borderId="5" xfId="0" applyNumberFormat="1" applyFont="1" applyBorder="1"/>
    <xf numFmtId="0" fontId="0" fillId="2" borderId="11" xfId="0" applyFill="1" applyBorder="1"/>
    <xf numFmtId="0" fontId="0" fillId="2" borderId="19" xfId="0" applyFill="1" applyBorder="1"/>
    <xf numFmtId="0" fontId="10" fillId="2" borderId="18" xfId="0" applyFont="1" applyFill="1" applyBorder="1"/>
    <xf numFmtId="0" fontId="2" fillId="0" borderId="16" xfId="0" applyFont="1" applyBorder="1"/>
    <xf numFmtId="0" fontId="2" fillId="0" borderId="20" xfId="0" applyFont="1" applyBorder="1"/>
    <xf numFmtId="0" fontId="2" fillId="0" borderId="22" xfId="0" applyFont="1" applyBorder="1"/>
    <xf numFmtId="0" fontId="1" fillId="0" borderId="5" xfId="0" applyFont="1" applyBorder="1" applyAlignment="1">
      <alignment horizontal="center"/>
    </xf>
    <xf numFmtId="0" fontId="4" fillId="0" borderId="20" xfId="0" applyFont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2" borderId="7" xfId="0" applyFont="1" applyFill="1" applyBorder="1"/>
    <xf numFmtId="0" fontId="4" fillId="0" borderId="2" xfId="0" applyFont="1" applyBorder="1"/>
    <xf numFmtId="0" fontId="15" fillId="0" borderId="2" xfId="0" applyFont="1" applyBorder="1"/>
    <xf numFmtId="2" fontId="5" fillId="0" borderId="15" xfId="0" applyNumberFormat="1" applyFont="1" applyBorder="1"/>
    <xf numFmtId="0" fontId="12" fillId="0" borderId="0" xfId="0" applyFont="1"/>
    <xf numFmtId="2" fontId="5" fillId="0" borderId="23" xfId="0" applyNumberFormat="1" applyFont="1" applyBorder="1"/>
    <xf numFmtId="15" fontId="0" fillId="0" borderId="3" xfId="0" applyNumberFormat="1" applyBorder="1"/>
    <xf numFmtId="0" fontId="1" fillId="2" borderId="8" xfId="0" applyFont="1" applyFill="1" applyBorder="1"/>
    <xf numFmtId="0" fontId="12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3" borderId="0" xfId="0" applyFont="1" applyFill="1"/>
    <xf numFmtId="15" fontId="12" fillId="0" borderId="0" xfId="0" applyNumberFormat="1" applyFont="1"/>
    <xf numFmtId="15" fontId="2" fillId="0" borderId="0" xfId="0" applyNumberFormat="1" applyFont="1"/>
    <xf numFmtId="15" fontId="12" fillId="0" borderId="3" xfId="0" applyNumberFormat="1" applyFont="1" applyBorder="1"/>
    <xf numFmtId="0" fontId="2" fillId="0" borderId="4" xfId="0" applyFont="1" applyBorder="1"/>
    <xf numFmtId="0" fontId="0" fillId="2" borderId="7" xfId="0" applyFill="1" applyBorder="1"/>
    <xf numFmtId="0" fontId="1" fillId="3" borderId="0" xfId="0" applyFont="1" applyFill="1" applyAlignment="1">
      <alignment horizontal="right"/>
    </xf>
    <xf numFmtId="165" fontId="1" fillId="3" borderId="0" xfId="0" applyNumberFormat="1" applyFont="1" applyFill="1"/>
    <xf numFmtId="164" fontId="1" fillId="3" borderId="0" xfId="0" applyNumberFormat="1" applyFont="1" applyFill="1"/>
    <xf numFmtId="0" fontId="0" fillId="2" borderId="20" xfId="0" applyFill="1" applyBorder="1"/>
    <xf numFmtId="0" fontId="8" fillId="0" borderId="0" xfId="0" applyFont="1"/>
    <xf numFmtId="0" fontId="2" fillId="2" borderId="20" xfId="0" applyFont="1" applyFill="1" applyBorder="1"/>
    <xf numFmtId="0" fontId="2" fillId="2" borderId="22" xfId="0" applyFont="1" applyFill="1" applyBorder="1"/>
    <xf numFmtId="0" fontId="0" fillId="2" borderId="22" xfId="0" applyFill="1" applyBorder="1"/>
    <xf numFmtId="0" fontId="0" fillId="0" borderId="1" xfId="0" applyBorder="1"/>
    <xf numFmtId="0" fontId="0" fillId="0" borderId="15" xfId="0" applyBorder="1"/>
    <xf numFmtId="0" fontId="3" fillId="0" borderId="1" xfId="0" applyFont="1" applyBorder="1"/>
    <xf numFmtId="0" fontId="0" fillId="0" borderId="13" xfId="0" applyBorder="1"/>
    <xf numFmtId="0" fontId="1" fillId="0" borderId="1" xfId="0" applyFont="1" applyBorder="1"/>
    <xf numFmtId="0" fontId="3" fillId="0" borderId="13" xfId="0" applyFont="1" applyBorder="1"/>
    <xf numFmtId="0" fontId="3" fillId="0" borderId="24" xfId="0" applyFont="1" applyBorder="1"/>
    <xf numFmtId="0" fontId="2" fillId="2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9" xfId="0" applyBorder="1"/>
    <xf numFmtId="0" fontId="15" fillId="0" borderId="0" xfId="0" applyFont="1"/>
    <xf numFmtId="166" fontId="5" fillId="0" borderId="0" xfId="0" applyNumberFormat="1" applyFont="1"/>
    <xf numFmtId="15" fontId="2" fillId="0" borderId="0" xfId="0" applyNumberFormat="1" applyFont="1" applyAlignment="1">
      <alignment horizontal="center"/>
    </xf>
    <xf numFmtId="15" fontId="19" fillId="0" borderId="0" xfId="0" applyNumberFormat="1" applyFont="1"/>
    <xf numFmtId="0" fontId="20" fillId="0" borderId="23" xfId="0" applyFont="1" applyBorder="1"/>
    <xf numFmtId="0" fontId="20" fillId="0" borderId="25" xfId="0" applyFont="1" applyBorder="1"/>
    <xf numFmtId="0" fontId="0" fillId="2" borderId="16" xfId="0" applyFill="1" applyBorder="1"/>
    <xf numFmtId="0" fontId="2" fillId="2" borderId="16" xfId="0" applyFont="1" applyFill="1" applyBorder="1"/>
    <xf numFmtId="2" fontId="5" fillId="2" borderId="20" xfId="0" applyNumberFormat="1" applyFont="1" applyFill="1" applyBorder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" fontId="1" fillId="0" borderId="5" xfId="0" applyNumberFormat="1" applyFont="1" applyBorder="1" applyAlignment="1">
      <alignment horizontal="right"/>
    </xf>
    <xf numFmtId="2" fontId="1" fillId="0" borderId="5" xfId="0" applyNumberFormat="1" applyFont="1" applyBorder="1" applyAlignment="1">
      <alignment horizontal="right"/>
    </xf>
    <xf numFmtId="167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65" fontId="21" fillId="0" borderId="0" xfId="0" applyNumberFormat="1" applyFont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2" borderId="0" xfId="0" applyFill="1"/>
    <xf numFmtId="0" fontId="5" fillId="0" borderId="6" xfId="0" applyFont="1" applyBorder="1" applyAlignment="1">
      <alignment horizontal="center"/>
    </xf>
    <xf numFmtId="0" fontId="5" fillId="0" borderId="11" xfId="0" applyFont="1" applyBorder="1"/>
    <xf numFmtId="0" fontId="4" fillId="0" borderId="20" xfId="0" applyFont="1" applyBorder="1" applyAlignment="1">
      <alignment horizontal="center"/>
    </xf>
    <xf numFmtId="0" fontId="1" fillId="3" borderId="5" xfId="0" applyFont="1" applyFill="1" applyBorder="1"/>
    <xf numFmtId="0" fontId="1" fillId="3" borderId="3" xfId="0" applyFont="1" applyFill="1" applyBorder="1"/>
    <xf numFmtId="2" fontId="1" fillId="3" borderId="0" xfId="0" applyNumberFormat="1" applyFont="1" applyFill="1"/>
    <xf numFmtId="0" fontId="1" fillId="3" borderId="17" xfId="0" applyFont="1" applyFill="1" applyBorder="1"/>
    <xf numFmtId="0" fontId="0" fillId="0" borderId="18" xfId="0" applyBorder="1"/>
    <xf numFmtId="0" fontId="3" fillId="0" borderId="4" xfId="0" applyFont="1" applyBorder="1"/>
    <xf numFmtId="0" fontId="1" fillId="4" borderId="0" xfId="0" applyFont="1" applyFill="1"/>
    <xf numFmtId="0" fontId="20" fillId="4" borderId="23" xfId="0" applyFont="1" applyFill="1" applyBorder="1"/>
    <xf numFmtId="0" fontId="20" fillId="4" borderId="25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horizontal="center"/>
    </xf>
    <xf numFmtId="1" fontId="1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" fontId="1" fillId="4" borderId="0" xfId="0" applyNumberFormat="1" applyFont="1" applyFill="1" applyAlignment="1">
      <alignment horizontal="right"/>
    </xf>
    <xf numFmtId="0" fontId="1" fillId="4" borderId="3" xfId="0" applyFont="1" applyFill="1" applyBorder="1" applyAlignment="1">
      <alignment horizontal="right"/>
    </xf>
    <xf numFmtId="2" fontId="1" fillId="4" borderId="0" xfId="0" applyNumberFormat="1" applyFont="1" applyFill="1"/>
    <xf numFmtId="0" fontId="12" fillId="0" borderId="0" xfId="0" applyFont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1" fillId="0" borderId="0" xfId="0" applyFont="1" applyFill="1"/>
    <xf numFmtId="165" fontId="1" fillId="0" borderId="0" xfId="0" applyNumberFormat="1" applyFont="1" applyFill="1"/>
  </cellXfs>
  <cellStyles count="1">
    <cellStyle name="Standard" xfId="0" builtinId="0"/>
  </cellStyles>
  <dxfs count="2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95C7-1646-46FF-AA85-638A18BD9EE0}">
  <dimension ref="B1:W148"/>
  <sheetViews>
    <sheetView topLeftCell="A91" zoomScale="85" zoomScaleNormal="85" workbookViewId="0">
      <selection activeCell="G53" sqref="G53:G55"/>
    </sheetView>
  </sheetViews>
  <sheetFormatPr baseColWidth="10" defaultRowHeight="15" x14ac:dyDescent="0.25"/>
  <cols>
    <col min="2" max="2" width="16.140625" customWidth="1"/>
    <col min="9" max="9" width="16.42578125" bestFit="1" customWidth="1"/>
    <col min="10" max="11" width="12.42578125" bestFit="1" customWidth="1"/>
    <col min="14" max="14" width="13.28515625" customWidth="1"/>
    <col min="19" max="19" width="16.7109375" customWidth="1"/>
  </cols>
  <sheetData>
    <row r="1" spans="2:8" ht="15.75" thickBot="1" x14ac:dyDescent="0.3"/>
    <row r="2" spans="2:8" x14ac:dyDescent="0.25">
      <c r="B2" s="28" t="s">
        <v>258</v>
      </c>
      <c r="C2" s="97"/>
      <c r="D2" s="29"/>
      <c r="E2" s="29"/>
      <c r="F2" s="29"/>
      <c r="G2" s="29"/>
      <c r="H2" s="30"/>
    </row>
    <row r="3" spans="2:8" x14ac:dyDescent="0.25">
      <c r="B3" s="20" t="s">
        <v>0</v>
      </c>
      <c r="C3" s="103">
        <v>21</v>
      </c>
      <c r="D3" t="s">
        <v>5</v>
      </c>
      <c r="H3" s="21"/>
    </row>
    <row r="4" spans="2:8" x14ac:dyDescent="0.25">
      <c r="B4" s="20" t="s">
        <v>127</v>
      </c>
      <c r="C4" s="103">
        <v>24</v>
      </c>
      <c r="D4" t="s">
        <v>5</v>
      </c>
      <c r="H4" s="21"/>
    </row>
    <row r="5" spans="2:8" x14ac:dyDescent="0.25">
      <c r="B5" s="20" t="s">
        <v>65</v>
      </c>
      <c r="C5" s="103">
        <v>1.5</v>
      </c>
      <c r="D5" t="s">
        <v>5</v>
      </c>
      <c r="E5" t="s">
        <v>249</v>
      </c>
      <c r="H5" s="21"/>
    </row>
    <row r="6" spans="2:8" x14ac:dyDescent="0.25">
      <c r="B6" s="20" t="s">
        <v>222</v>
      </c>
      <c r="C6" s="103">
        <v>3</v>
      </c>
      <c r="D6" t="s">
        <v>5</v>
      </c>
      <c r="E6" t="s">
        <v>248</v>
      </c>
      <c r="H6" s="21"/>
    </row>
    <row r="7" spans="2:8" x14ac:dyDescent="0.25">
      <c r="B7" s="20" t="s">
        <v>128</v>
      </c>
      <c r="C7" s="103">
        <v>6</v>
      </c>
      <c r="D7" t="s">
        <v>5</v>
      </c>
      <c r="E7" t="s">
        <v>129</v>
      </c>
      <c r="H7" s="21"/>
    </row>
    <row r="8" spans="2:8" x14ac:dyDescent="0.25">
      <c r="B8" s="20" t="s">
        <v>30</v>
      </c>
      <c r="C8" s="5">
        <f>COUNT(C24:C32)</f>
        <v>3</v>
      </c>
      <c r="H8" s="21"/>
    </row>
    <row r="9" spans="2:8" x14ac:dyDescent="0.25">
      <c r="B9" s="23"/>
      <c r="H9" s="21"/>
    </row>
    <row r="10" spans="2:8" ht="15.75" thickBot="1" x14ac:dyDescent="0.3">
      <c r="B10" s="107" t="s">
        <v>6</v>
      </c>
      <c r="C10" s="154">
        <f>9.81</f>
        <v>9.81</v>
      </c>
      <c r="D10" s="26" t="s">
        <v>7</v>
      </c>
      <c r="E10" s="26"/>
      <c r="F10" s="26"/>
      <c r="G10" s="26"/>
      <c r="H10" s="27"/>
    </row>
    <row r="11" spans="2:8" ht="15.75" thickBot="1" x14ac:dyDescent="0.3">
      <c r="C11" s="4"/>
    </row>
    <row r="12" spans="2:8" x14ac:dyDescent="0.25">
      <c r="B12" s="28" t="s">
        <v>196</v>
      </c>
      <c r="C12" s="97"/>
      <c r="D12" s="29"/>
      <c r="E12" s="29"/>
      <c r="F12" s="29"/>
      <c r="G12" s="30"/>
    </row>
    <row r="13" spans="2:8" x14ac:dyDescent="0.25">
      <c r="B13" s="20"/>
      <c r="C13" s="98" t="s">
        <v>85</v>
      </c>
      <c r="D13" s="99" t="s">
        <v>86</v>
      </c>
      <c r="E13" s="99" t="s">
        <v>87</v>
      </c>
      <c r="F13" s="99" t="s">
        <v>227</v>
      </c>
      <c r="G13" s="100" t="s">
        <v>88</v>
      </c>
    </row>
    <row r="14" spans="2:8" x14ac:dyDescent="0.25">
      <c r="B14" s="101" t="s">
        <v>84</v>
      </c>
      <c r="C14" s="103">
        <v>1.35</v>
      </c>
      <c r="D14" s="111">
        <v>1.5</v>
      </c>
      <c r="E14" s="103">
        <v>1.5</v>
      </c>
      <c r="F14" s="103">
        <v>1.5</v>
      </c>
      <c r="G14" s="21"/>
    </row>
    <row r="15" spans="2:8" ht="18" x14ac:dyDescent="0.35">
      <c r="B15" s="101" t="s">
        <v>197</v>
      </c>
      <c r="C15" s="4"/>
      <c r="D15" s="111">
        <v>0.7</v>
      </c>
      <c r="E15" s="111">
        <v>0.6</v>
      </c>
      <c r="F15" s="103">
        <v>0.5</v>
      </c>
      <c r="G15" s="21"/>
    </row>
    <row r="16" spans="2:8" s="19" customFormat="1" ht="18" x14ac:dyDescent="0.35">
      <c r="B16" s="101" t="s">
        <v>198</v>
      </c>
      <c r="C16" s="4"/>
      <c r="D16" s="111">
        <v>0.5</v>
      </c>
      <c r="E16" s="111">
        <v>0.2</v>
      </c>
      <c r="F16" s="111">
        <v>0.2</v>
      </c>
      <c r="G16" s="96"/>
    </row>
    <row r="17" spans="2:22" ht="18" x14ac:dyDescent="0.35">
      <c r="B17" s="101" t="s">
        <v>199</v>
      </c>
      <c r="C17" s="4"/>
      <c r="D17" s="111">
        <v>0.3</v>
      </c>
      <c r="E17" s="111">
        <v>0</v>
      </c>
      <c r="F17" s="111">
        <v>0</v>
      </c>
      <c r="G17" s="21"/>
    </row>
    <row r="18" spans="2:22" x14ac:dyDescent="0.25">
      <c r="B18" s="101" t="s">
        <v>89</v>
      </c>
      <c r="C18" s="4"/>
      <c r="D18" s="103">
        <v>1</v>
      </c>
      <c r="E18" s="4"/>
      <c r="G18" s="46"/>
    </row>
    <row r="19" spans="2:22" ht="18.75" thickBot="1" x14ac:dyDescent="0.4">
      <c r="B19" s="102" t="s">
        <v>200</v>
      </c>
      <c r="C19" s="34"/>
      <c r="D19" s="35">
        <f>D18*D17</f>
        <v>0.3</v>
      </c>
      <c r="E19" s="26"/>
      <c r="F19" s="26"/>
      <c r="G19" s="27"/>
    </row>
    <row r="20" spans="2:22" ht="15.75" thickBot="1" x14ac:dyDescent="0.3"/>
    <row r="21" spans="2:22" x14ac:dyDescent="0.25">
      <c r="B21" s="28" t="s">
        <v>98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30"/>
      <c r="S21" s="28" t="s">
        <v>232</v>
      </c>
      <c r="T21" s="29"/>
      <c r="U21" s="29"/>
      <c r="V21" s="30"/>
    </row>
    <row r="22" spans="2:22" x14ac:dyDescent="0.25">
      <c r="B22" s="20"/>
      <c r="I22" s="2" t="s">
        <v>91</v>
      </c>
      <c r="J22" s="2"/>
      <c r="L22" s="2"/>
      <c r="M22" s="2"/>
      <c r="N22" s="2" t="s">
        <v>92</v>
      </c>
      <c r="O22" s="2"/>
      <c r="Q22" s="40"/>
      <c r="S22" s="20"/>
      <c r="V22" s="21"/>
    </row>
    <row r="23" spans="2:22" x14ac:dyDescent="0.25">
      <c r="B23" s="23" t="s">
        <v>3</v>
      </c>
      <c r="C23" s="2" t="s">
        <v>1</v>
      </c>
      <c r="D23" s="2" t="s">
        <v>2</v>
      </c>
      <c r="E23" s="2" t="s">
        <v>231</v>
      </c>
      <c r="F23" s="2" t="s">
        <v>33</v>
      </c>
      <c r="G23" s="2" t="s">
        <v>34</v>
      </c>
      <c r="I23" s="2" t="s">
        <v>243</v>
      </c>
      <c r="J23" s="2" t="s">
        <v>256</v>
      </c>
      <c r="K23" s="2" t="s">
        <v>255</v>
      </c>
      <c r="L23" s="3" t="s">
        <v>257</v>
      </c>
      <c r="N23" s="2" t="s">
        <v>224</v>
      </c>
      <c r="O23" s="2" t="s">
        <v>225</v>
      </c>
      <c r="P23" s="2" t="s">
        <v>226</v>
      </c>
      <c r="Q23" s="32" t="s">
        <v>90</v>
      </c>
      <c r="S23" s="20" t="s">
        <v>234</v>
      </c>
      <c r="T23" t="s">
        <v>233</v>
      </c>
      <c r="U23" s="103">
        <v>0.85</v>
      </c>
      <c r="V23" s="21" t="s">
        <v>235</v>
      </c>
    </row>
    <row r="24" spans="2:22" x14ac:dyDescent="0.25">
      <c r="B24" s="20">
        <v>1</v>
      </c>
      <c r="C24" s="103">
        <v>7.5</v>
      </c>
      <c r="D24" s="103">
        <v>3</v>
      </c>
      <c r="E24" s="5">
        <f t="shared" ref="E24:E32" si="0">IF(C24&lt;&gt;"", IF(G24=MAX($G$24:$G$32), $U$29, 0), "")</f>
        <v>0</v>
      </c>
      <c r="F24" s="103">
        <v>3.5</v>
      </c>
      <c r="G24" s="5">
        <f>IF(C24&lt;&gt;"", SUM($F$24:F24), "")</f>
        <v>3.5</v>
      </c>
      <c r="I24" s="5">
        <f>IF(C24&lt;&gt;"", $C$14*C24+$D$14*D24+$F$14*$F$15*E24, "")</f>
        <v>14.625</v>
      </c>
      <c r="J24" s="5">
        <f>IF(C24&lt;&gt;"", $C$14*C24 + $D$14*$D$15*D24 + $F$14*$F$15*E24, "")</f>
        <v>13.274999999999999</v>
      </c>
      <c r="K24" s="5">
        <f>IF(C24&lt;&gt;"", $C$14*C24 + $D$14*$D$15*D24 + $F$14*E24, "")</f>
        <v>13.274999999999999</v>
      </c>
      <c r="L24" s="5">
        <f t="shared" ref="L24:L32" si="1">IF(C24&lt;&gt;"", C24+$D$19*D24, "")</f>
        <v>8.4</v>
      </c>
      <c r="N24" s="5">
        <f t="shared" ref="N24:N32" si="2">IF(C24&lt;&gt;"", I24*$C$5, "")</f>
        <v>21.9375</v>
      </c>
      <c r="O24" s="5">
        <f>IF(C24&lt;&gt;"", J24*$C$5, "")</f>
        <v>19.912499999999998</v>
      </c>
      <c r="P24" s="5">
        <f>IF(C24&lt;&gt;"", K24*$C$5, "")</f>
        <v>19.912499999999998</v>
      </c>
      <c r="Q24" s="33">
        <f t="shared" ref="Q24:Q32" si="3">IF(C24&lt;&gt;"", L24*$C$5, "")</f>
        <v>12.600000000000001</v>
      </c>
      <c r="S24" s="20" t="s">
        <v>236</v>
      </c>
      <c r="T24" s="1" t="s">
        <v>62</v>
      </c>
      <c r="U24" s="103">
        <v>4</v>
      </c>
      <c r="V24" s="21" t="s">
        <v>237</v>
      </c>
    </row>
    <row r="25" spans="2:22" x14ac:dyDescent="0.25">
      <c r="B25" s="20">
        <v>2</v>
      </c>
      <c r="C25" s="103">
        <v>7.5</v>
      </c>
      <c r="D25" s="103">
        <v>3</v>
      </c>
      <c r="E25" s="5">
        <f t="shared" si="0"/>
        <v>0</v>
      </c>
      <c r="F25" s="103">
        <v>3.5</v>
      </c>
      <c r="G25" s="5">
        <f>IF(C25&lt;&gt;"", SUM($F$24:F25), "")</f>
        <v>7</v>
      </c>
      <c r="I25" s="5">
        <f t="shared" ref="I25:I32" si="4">IF(C25&lt;&gt;"", $C$14*C25+$D$14*D25+$F$14*$F$15*E25, "")</f>
        <v>14.625</v>
      </c>
      <c r="J25" s="5">
        <f t="shared" ref="J25:J32" si="5">IF(C25&lt;&gt;"", $C$14*C25 + $D$14*$D$15*D25 + $F$14*$F$15*E25, "")</f>
        <v>13.274999999999999</v>
      </c>
      <c r="K25" s="5">
        <f t="shared" ref="K25:K32" si="6">IF(C25&lt;&gt;"", $C$14*C25 + $D$14*$D$15*D25 + $F$14*E25, "")</f>
        <v>13.274999999999999</v>
      </c>
      <c r="L25" s="5">
        <f t="shared" si="1"/>
        <v>8.4</v>
      </c>
      <c r="N25" s="5">
        <f t="shared" si="2"/>
        <v>21.9375</v>
      </c>
      <c r="O25" s="5">
        <f t="shared" ref="O25:O32" si="7">IF(C25&lt;&gt;"", J25*$C$5, "")</f>
        <v>19.912499999999998</v>
      </c>
      <c r="P25" s="5">
        <f t="shared" ref="P25:P32" si="8">IF(C25&lt;&gt;"", K25*$C$5, "")</f>
        <v>19.912499999999998</v>
      </c>
      <c r="Q25" s="33">
        <f t="shared" si="3"/>
        <v>12.600000000000001</v>
      </c>
      <c r="S25" s="20"/>
      <c r="T25" t="s">
        <v>238</v>
      </c>
      <c r="U25" s="156">
        <v>1</v>
      </c>
      <c r="V25" s="21"/>
    </row>
    <row r="26" spans="2:22" x14ac:dyDescent="0.25">
      <c r="B26" s="20">
        <v>3</v>
      </c>
      <c r="C26" s="103">
        <v>7.5</v>
      </c>
      <c r="D26" s="103">
        <v>0</v>
      </c>
      <c r="E26" s="5">
        <f t="shared" si="0"/>
        <v>0.68</v>
      </c>
      <c r="F26" s="103">
        <v>3.5</v>
      </c>
      <c r="G26" s="5">
        <f>IF(C26&lt;&gt;"", SUM($F$24:F26), "")</f>
        <v>10.5</v>
      </c>
      <c r="I26" s="5">
        <f t="shared" si="4"/>
        <v>10.635</v>
      </c>
      <c r="J26" s="5">
        <f t="shared" si="5"/>
        <v>10.635</v>
      </c>
      <c r="K26" s="5">
        <f>IF(C26&lt;&gt;"", $C$14*C26 + $D$14*$D$15*D26 + $F$14*E26, "")</f>
        <v>11.145</v>
      </c>
      <c r="L26" s="5">
        <f t="shared" si="1"/>
        <v>7.5</v>
      </c>
      <c r="N26" s="5">
        <f t="shared" si="2"/>
        <v>15.952500000000001</v>
      </c>
      <c r="O26" s="5">
        <f t="shared" si="7"/>
        <v>15.952500000000001</v>
      </c>
      <c r="P26" s="5">
        <f t="shared" si="8"/>
        <v>16.717500000000001</v>
      </c>
      <c r="Q26" s="33">
        <f t="shared" si="3"/>
        <v>11.25</v>
      </c>
      <c r="S26" s="20"/>
      <c r="T26" t="s">
        <v>239</v>
      </c>
      <c r="U26" s="156">
        <v>1</v>
      </c>
      <c r="V26" s="21"/>
    </row>
    <row r="27" spans="2:22" x14ac:dyDescent="0.25">
      <c r="B27" s="20">
        <v>4</v>
      </c>
      <c r="C27" s="103"/>
      <c r="D27" s="103"/>
      <c r="E27" s="5" t="str">
        <f t="shared" si="0"/>
        <v/>
      </c>
      <c r="F27" s="103"/>
      <c r="G27" s="5" t="str">
        <f>IF(C27&lt;&gt;"", SUM($F$24:F27), "")</f>
        <v/>
      </c>
      <c r="I27" s="5" t="str">
        <f t="shared" si="4"/>
        <v/>
      </c>
      <c r="J27" s="5" t="str">
        <f t="shared" si="5"/>
        <v/>
      </c>
      <c r="K27" s="5" t="str">
        <f t="shared" si="6"/>
        <v/>
      </c>
      <c r="L27" s="5" t="str">
        <f t="shared" si="1"/>
        <v/>
      </c>
      <c r="N27" s="5" t="str">
        <f t="shared" si="2"/>
        <v/>
      </c>
      <c r="O27" s="5" t="str">
        <f t="shared" si="7"/>
        <v/>
      </c>
      <c r="P27" s="5" t="str">
        <f t="shared" si="8"/>
        <v/>
      </c>
      <c r="Q27" s="33" t="str">
        <f t="shared" si="3"/>
        <v/>
      </c>
      <c r="S27" s="20"/>
      <c r="V27" s="21"/>
    </row>
    <row r="28" spans="2:22" ht="18" x14ac:dyDescent="0.35">
      <c r="B28" s="20">
        <v>5</v>
      </c>
      <c r="C28" s="103"/>
      <c r="D28" s="103"/>
      <c r="E28" s="5" t="str">
        <f t="shared" si="0"/>
        <v/>
      </c>
      <c r="F28" s="103"/>
      <c r="G28" s="5" t="str">
        <f>IF(C28&lt;&gt;"", SUM($F$24:F28), "")</f>
        <v/>
      </c>
      <c r="I28" s="5" t="str">
        <f t="shared" si="4"/>
        <v/>
      </c>
      <c r="J28" s="5" t="str">
        <f t="shared" si="5"/>
        <v/>
      </c>
      <c r="K28" s="5" t="str">
        <f t="shared" si="6"/>
        <v/>
      </c>
      <c r="L28" s="5" t="str">
        <f t="shared" si="1"/>
        <v/>
      </c>
      <c r="N28" s="5" t="str">
        <f t="shared" si="2"/>
        <v/>
      </c>
      <c r="O28" s="5" t="str">
        <f t="shared" si="7"/>
        <v/>
      </c>
      <c r="P28" s="5" t="str">
        <f t="shared" si="8"/>
        <v/>
      </c>
      <c r="Q28" s="33" t="str">
        <f t="shared" si="3"/>
        <v/>
      </c>
      <c r="S28" s="20" t="s">
        <v>240</v>
      </c>
      <c r="T28" s="1" t="s">
        <v>241</v>
      </c>
      <c r="U28" s="5">
        <f>IF(U24&lt;30, 0.8, IF(U24&lt;60, 0.8*(60-U24)/30, 0))</f>
        <v>0.8</v>
      </c>
      <c r="V28" s="21" t="s">
        <v>235</v>
      </c>
    </row>
    <row r="29" spans="2:22" x14ac:dyDescent="0.25">
      <c r="B29" s="20">
        <v>6</v>
      </c>
      <c r="C29" s="103"/>
      <c r="D29" s="103"/>
      <c r="E29" s="5" t="str">
        <f t="shared" si="0"/>
        <v/>
      </c>
      <c r="F29" s="103"/>
      <c r="G29" s="5" t="str">
        <f>IF(C29&lt;&gt;"", SUM($F$24:F29), "")</f>
        <v/>
      </c>
      <c r="I29" s="5" t="str">
        <f t="shared" si="4"/>
        <v/>
      </c>
      <c r="J29" s="5" t="str">
        <f t="shared" si="5"/>
        <v/>
      </c>
      <c r="K29" s="5" t="str">
        <f t="shared" si="6"/>
        <v/>
      </c>
      <c r="L29" s="5" t="str">
        <f t="shared" si="1"/>
        <v/>
      </c>
      <c r="N29" s="5" t="str">
        <f t="shared" si="2"/>
        <v/>
      </c>
      <c r="O29" s="5" t="str">
        <f t="shared" si="7"/>
        <v/>
      </c>
      <c r="P29" s="5" t="str">
        <f t="shared" si="8"/>
        <v/>
      </c>
      <c r="Q29" s="33" t="str">
        <f t="shared" si="3"/>
        <v/>
      </c>
      <c r="S29" s="20" t="s">
        <v>242</v>
      </c>
      <c r="T29" s="1" t="s">
        <v>8</v>
      </c>
      <c r="U29" s="5">
        <f>U28*U25*U26*U23</f>
        <v>0.68</v>
      </c>
      <c r="V29" s="21" t="s">
        <v>235</v>
      </c>
    </row>
    <row r="30" spans="2:22" x14ac:dyDescent="0.25">
      <c r="B30" s="20">
        <v>7</v>
      </c>
      <c r="C30" s="103"/>
      <c r="D30" s="103"/>
      <c r="E30" s="5" t="str">
        <f t="shared" si="0"/>
        <v/>
      </c>
      <c r="F30" s="103"/>
      <c r="G30" s="5" t="str">
        <f>IF(C30&lt;&gt;"", SUM($F$24:F30), "")</f>
        <v/>
      </c>
      <c r="I30" s="5" t="str">
        <f t="shared" si="4"/>
        <v/>
      </c>
      <c r="J30" s="5" t="str">
        <f t="shared" si="5"/>
        <v/>
      </c>
      <c r="K30" s="5" t="str">
        <f t="shared" si="6"/>
        <v/>
      </c>
      <c r="L30" s="5" t="str">
        <f t="shared" si="1"/>
        <v/>
      </c>
      <c r="N30" s="5" t="str">
        <f t="shared" si="2"/>
        <v/>
      </c>
      <c r="O30" s="5" t="str">
        <f t="shared" si="7"/>
        <v/>
      </c>
      <c r="P30" s="5" t="str">
        <f t="shared" si="8"/>
        <v/>
      </c>
      <c r="Q30" s="33" t="str">
        <f t="shared" si="3"/>
        <v/>
      </c>
      <c r="S30" s="20"/>
      <c r="V30" s="21"/>
    </row>
    <row r="31" spans="2:22" x14ac:dyDescent="0.25">
      <c r="B31" s="20">
        <v>8</v>
      </c>
      <c r="C31" s="103"/>
      <c r="D31" s="103"/>
      <c r="E31" s="5" t="str">
        <f t="shared" si="0"/>
        <v/>
      </c>
      <c r="F31" s="103"/>
      <c r="G31" s="5" t="str">
        <f>IF(C31&lt;&gt;"", SUM($F$24:F31), "")</f>
        <v/>
      </c>
      <c r="I31" s="5" t="str">
        <f t="shared" si="4"/>
        <v/>
      </c>
      <c r="J31" s="5" t="str">
        <f t="shared" si="5"/>
        <v/>
      </c>
      <c r="K31" s="5" t="str">
        <f t="shared" si="6"/>
        <v/>
      </c>
      <c r="L31" s="5" t="str">
        <f t="shared" si="1"/>
        <v/>
      </c>
      <c r="N31" s="5" t="str">
        <f t="shared" si="2"/>
        <v/>
      </c>
      <c r="O31" s="5" t="str">
        <f t="shared" si="7"/>
        <v/>
      </c>
      <c r="P31" s="5" t="str">
        <f t="shared" si="8"/>
        <v/>
      </c>
      <c r="Q31" s="33" t="str">
        <f t="shared" si="3"/>
        <v/>
      </c>
      <c r="S31" s="20"/>
      <c r="V31" s="21"/>
    </row>
    <row r="32" spans="2:22" ht="15.75" thickBot="1" x14ac:dyDescent="0.3">
      <c r="B32" s="20">
        <v>9</v>
      </c>
      <c r="C32" s="103"/>
      <c r="D32" s="103"/>
      <c r="E32" s="5" t="str">
        <f t="shared" si="0"/>
        <v/>
      </c>
      <c r="F32" s="103"/>
      <c r="G32" s="5" t="str">
        <f>IF(C32&lt;&gt;"", SUM($F$24:F32), "")</f>
        <v/>
      </c>
      <c r="I32" s="5" t="str">
        <f t="shared" si="4"/>
        <v/>
      </c>
      <c r="J32" s="5" t="str">
        <f t="shared" si="5"/>
        <v/>
      </c>
      <c r="K32" s="5" t="str">
        <f t="shared" si="6"/>
        <v/>
      </c>
      <c r="L32" s="5" t="str">
        <f t="shared" si="1"/>
        <v/>
      </c>
      <c r="N32" s="5" t="str">
        <f t="shared" si="2"/>
        <v/>
      </c>
      <c r="O32" s="5" t="str">
        <f t="shared" si="7"/>
        <v/>
      </c>
      <c r="P32" s="5" t="str">
        <f t="shared" si="8"/>
        <v/>
      </c>
      <c r="Q32" s="33" t="str">
        <f t="shared" si="3"/>
        <v/>
      </c>
      <c r="S32" s="24"/>
      <c r="T32" s="26"/>
      <c r="U32" s="26"/>
      <c r="V32" s="27"/>
    </row>
    <row r="33" spans="2:23" ht="15.75" thickBot="1" x14ac:dyDescent="0.3">
      <c r="B33" s="24"/>
      <c r="C33" s="34"/>
      <c r="D33" s="34"/>
      <c r="E33" s="35"/>
      <c r="F33" s="34"/>
      <c r="G33" s="35"/>
      <c r="H33" s="26"/>
      <c r="I33" s="35"/>
      <c r="J33" s="35"/>
      <c r="K33" s="35"/>
      <c r="L33" s="35"/>
      <c r="M33" s="26"/>
      <c r="N33" s="35"/>
      <c r="O33" s="35"/>
      <c r="P33" s="35"/>
      <c r="Q33" s="36"/>
    </row>
    <row r="35" spans="2:23" ht="15.75" thickBot="1" x14ac:dyDescent="0.3"/>
    <row r="36" spans="2:23" x14ac:dyDescent="0.25">
      <c r="B36" s="28" t="s">
        <v>99</v>
      </c>
      <c r="C36" s="29"/>
      <c r="D36" s="29"/>
      <c r="E36" s="29"/>
      <c r="F36" s="29"/>
      <c r="G36" s="29"/>
      <c r="H36" s="29"/>
      <c r="I36" s="29"/>
      <c r="J36" s="30"/>
      <c r="L36" s="28" t="s">
        <v>100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30"/>
    </row>
    <row r="37" spans="2:23" x14ac:dyDescent="0.25">
      <c r="B37" s="20" t="s">
        <v>10</v>
      </c>
      <c r="C37" s="103">
        <v>0</v>
      </c>
      <c r="D37" t="s">
        <v>6</v>
      </c>
      <c r="J37" s="21"/>
      <c r="L37" s="22" t="s">
        <v>120</v>
      </c>
      <c r="M37" s="103">
        <v>1.25</v>
      </c>
      <c r="N37" t="s">
        <v>121</v>
      </c>
      <c r="Q37" s="127" t="s">
        <v>117</v>
      </c>
      <c r="R37" s="5">
        <f>0.19*(M44/0.05)^0.07</f>
        <v>0.23432881734391497</v>
      </c>
      <c r="S37" s="127"/>
      <c r="W37" s="21"/>
    </row>
    <row r="38" spans="2:23" x14ac:dyDescent="0.25">
      <c r="B38" s="20" t="s">
        <v>11</v>
      </c>
      <c r="C38" s="103">
        <f>0.3*C37</f>
        <v>0</v>
      </c>
      <c r="D38" t="s">
        <v>6</v>
      </c>
      <c r="J38" s="21"/>
      <c r="L38" s="92" t="s">
        <v>101</v>
      </c>
      <c r="M38" s="103">
        <v>2</v>
      </c>
      <c r="N38" s="127"/>
      <c r="O38" s="127"/>
      <c r="Q38" s="127" t="s">
        <v>118</v>
      </c>
      <c r="R38" s="5">
        <f>M39*M41*M42</f>
        <v>25</v>
      </c>
      <c r="S38" t="s">
        <v>103</v>
      </c>
      <c r="W38" s="21"/>
    </row>
    <row r="39" spans="2:23" x14ac:dyDescent="0.25">
      <c r="B39" s="20" t="s">
        <v>12</v>
      </c>
      <c r="C39" s="109" t="s">
        <v>13</v>
      </c>
      <c r="E39" s="114" t="s">
        <v>3</v>
      </c>
      <c r="F39" s="114" t="s">
        <v>4</v>
      </c>
      <c r="G39" s="114" t="s">
        <v>35</v>
      </c>
      <c r="H39" s="112"/>
      <c r="I39" s="114" t="s">
        <v>36</v>
      </c>
      <c r="J39" s="115" t="s">
        <v>32</v>
      </c>
      <c r="L39" s="92" t="s">
        <v>102</v>
      </c>
      <c r="M39" s="103">
        <v>25</v>
      </c>
      <c r="N39" s="127" t="s">
        <v>103</v>
      </c>
      <c r="O39" s="127"/>
      <c r="Q39" s="127" t="s">
        <v>124</v>
      </c>
      <c r="R39" s="8">
        <f>SUM(F24:F32)</f>
        <v>10.5</v>
      </c>
      <c r="S39" t="s">
        <v>5</v>
      </c>
      <c r="T39" t="s">
        <v>201</v>
      </c>
      <c r="W39" s="21"/>
    </row>
    <row r="40" spans="2:23" x14ac:dyDescent="0.25">
      <c r="B40" s="20" t="s">
        <v>14</v>
      </c>
      <c r="C40" s="103">
        <v>1</v>
      </c>
      <c r="E40">
        <v>1</v>
      </c>
      <c r="F40" s="5">
        <f>IF(C24&lt;&gt;"", L24*$C$3*$C$7, "")</f>
        <v>1058.4000000000001</v>
      </c>
      <c r="G40" s="6">
        <f t="shared" ref="G40:G48" si="9">IF(C24&lt;&gt;"", F40/$C$10, "")</f>
        <v>107.88990825688074</v>
      </c>
      <c r="I40" s="6">
        <f t="shared" ref="I40:I48" si="10">IF(C24&lt;&gt;"", G40*G24, "")</f>
        <v>377.61467889908261</v>
      </c>
      <c r="J40" s="59">
        <f t="shared" ref="J40:J48" si="11">IF(C24&lt;&gt;"", $C$70 * I40/$I$49, "")</f>
        <v>0</v>
      </c>
      <c r="L40" s="92" t="s">
        <v>104</v>
      </c>
      <c r="M40" s="103">
        <v>0.39</v>
      </c>
      <c r="N40" s="127" t="s">
        <v>103</v>
      </c>
      <c r="O40" s="127"/>
      <c r="Q40" s="127" t="s">
        <v>125</v>
      </c>
      <c r="R40" s="8">
        <f>C3</f>
        <v>21</v>
      </c>
      <c r="S40" t="s">
        <v>5</v>
      </c>
      <c r="W40" s="21"/>
    </row>
    <row r="41" spans="2:23" x14ac:dyDescent="0.25">
      <c r="B41" s="20" t="s">
        <v>15</v>
      </c>
      <c r="C41" s="103">
        <f>1.6*(1-0.2*C37)</f>
        <v>1.6</v>
      </c>
      <c r="E41">
        <v>2</v>
      </c>
      <c r="F41" s="5">
        <f t="shared" ref="F41:F48" si="12">IF(C25&lt;&gt;"", L25*$C$3*$C$7, "")</f>
        <v>1058.4000000000001</v>
      </c>
      <c r="G41" s="6">
        <f t="shared" si="9"/>
        <v>107.88990825688074</v>
      </c>
      <c r="I41" s="6">
        <f t="shared" si="10"/>
        <v>755.22935779816521</v>
      </c>
      <c r="J41" s="59">
        <f t="shared" si="11"/>
        <v>0</v>
      </c>
      <c r="L41" s="92" t="s">
        <v>111</v>
      </c>
      <c r="M41" s="103">
        <v>1</v>
      </c>
      <c r="N41" s="127"/>
      <c r="O41" s="127"/>
      <c r="Q41" s="127" t="s">
        <v>78</v>
      </c>
      <c r="R41" s="5">
        <f>C4</f>
        <v>24</v>
      </c>
      <c r="S41" s="127" t="s">
        <v>5</v>
      </c>
      <c r="W41" s="21"/>
    </row>
    <row r="42" spans="2:23" x14ac:dyDescent="0.25">
      <c r="B42" s="20" t="s">
        <v>16</v>
      </c>
      <c r="C42" s="103">
        <f>2.3*(1-0.3*C38)</f>
        <v>2.2999999999999998</v>
      </c>
      <c r="E42">
        <v>3</v>
      </c>
      <c r="F42" s="5">
        <f t="shared" si="12"/>
        <v>945</v>
      </c>
      <c r="G42" s="6">
        <f t="shared" si="9"/>
        <v>96.330275229357795</v>
      </c>
      <c r="I42" s="6">
        <f t="shared" si="10"/>
        <v>1011.4678899082569</v>
      </c>
      <c r="J42" s="59">
        <f t="shared" si="11"/>
        <v>0</v>
      </c>
      <c r="L42" s="92" t="s">
        <v>112</v>
      </c>
      <c r="M42" s="103">
        <v>1</v>
      </c>
      <c r="O42" s="127"/>
      <c r="Q42" s="127" t="s">
        <v>126</v>
      </c>
      <c r="R42" s="9">
        <f>R39/R40</f>
        <v>0.5</v>
      </c>
      <c r="W42" s="21"/>
    </row>
    <row r="43" spans="2:23" x14ac:dyDescent="0.25">
      <c r="B43" s="20"/>
      <c r="E43">
        <v>4</v>
      </c>
      <c r="F43" s="5" t="str">
        <f t="shared" si="12"/>
        <v/>
      </c>
      <c r="G43" s="6" t="str">
        <f t="shared" si="9"/>
        <v/>
      </c>
      <c r="I43" s="6" t="str">
        <f t="shared" si="10"/>
        <v/>
      </c>
      <c r="J43" s="59" t="str">
        <f t="shared" si="11"/>
        <v/>
      </c>
      <c r="L43" s="92" t="s">
        <v>113</v>
      </c>
      <c r="M43" s="103">
        <v>2</v>
      </c>
      <c r="N43" s="127"/>
      <c r="O43" s="127"/>
      <c r="Q43" s="127" t="s">
        <v>148</v>
      </c>
      <c r="R43" s="5">
        <f>R40/R41</f>
        <v>0.875</v>
      </c>
      <c r="W43" s="21"/>
    </row>
    <row r="44" spans="2:23" ht="18" x14ac:dyDescent="0.35">
      <c r="B44" s="20" t="s">
        <v>17</v>
      </c>
      <c r="C44" s="6">
        <f>C40*C41*C37</f>
        <v>0</v>
      </c>
      <c r="E44">
        <v>5</v>
      </c>
      <c r="F44" s="5" t="str">
        <f t="shared" si="12"/>
        <v/>
      </c>
      <c r="G44" s="6" t="str">
        <f t="shared" si="9"/>
        <v/>
      </c>
      <c r="I44" s="6" t="str">
        <f t="shared" si="10"/>
        <v/>
      </c>
      <c r="J44" s="59" t="str">
        <f t="shared" si="11"/>
        <v/>
      </c>
      <c r="L44" s="92" t="s">
        <v>108</v>
      </c>
      <c r="M44" s="103">
        <v>1</v>
      </c>
      <c r="N44" s="127" t="s">
        <v>5</v>
      </c>
      <c r="O44" s="127"/>
      <c r="Q44" s="127" t="s">
        <v>152</v>
      </c>
      <c r="R44" s="9">
        <f>R39/R41</f>
        <v>0.4375</v>
      </c>
      <c r="W44" s="21"/>
    </row>
    <row r="45" spans="2:23" ht="18" x14ac:dyDescent="0.35">
      <c r="B45" s="20" t="s">
        <v>18</v>
      </c>
      <c r="C45" s="6">
        <f>C40*C42*C38</f>
        <v>0</v>
      </c>
      <c r="E45">
        <v>6</v>
      </c>
      <c r="F45" s="5" t="str">
        <f t="shared" si="12"/>
        <v/>
      </c>
      <c r="G45" s="6" t="str">
        <f t="shared" si="9"/>
        <v/>
      </c>
      <c r="I45" s="6" t="str">
        <f t="shared" si="10"/>
        <v/>
      </c>
      <c r="J45" s="59" t="str">
        <f t="shared" si="11"/>
        <v/>
      </c>
      <c r="L45" s="92" t="s">
        <v>110</v>
      </c>
      <c r="M45" s="103">
        <v>10</v>
      </c>
      <c r="N45" s="127" t="s">
        <v>5</v>
      </c>
      <c r="O45" s="127"/>
      <c r="Q45" s="127" t="s">
        <v>105</v>
      </c>
      <c r="R45" s="9">
        <f>IF(R42&gt;=1, 0.8, IF(AND(R42&lt;1, R42&gt;0.25), 0.8-0.1333*R42, 0.7))</f>
        <v>0.73335000000000006</v>
      </c>
      <c r="W45" s="21"/>
    </row>
    <row r="46" spans="2:23" x14ac:dyDescent="0.25">
      <c r="B46" s="20"/>
      <c r="E46">
        <v>7</v>
      </c>
      <c r="F46" s="5" t="str">
        <f t="shared" si="12"/>
        <v/>
      </c>
      <c r="G46" s="6" t="str">
        <f t="shared" si="9"/>
        <v/>
      </c>
      <c r="I46" s="6" t="str">
        <f t="shared" si="10"/>
        <v/>
      </c>
      <c r="J46" s="59" t="str">
        <f t="shared" si="11"/>
        <v/>
      </c>
      <c r="L46" s="92" t="s">
        <v>131</v>
      </c>
      <c r="M46" s="9">
        <f>0.67+0.05*LN(M44)</f>
        <v>0.67</v>
      </c>
      <c r="N46" s="127"/>
      <c r="O46" s="127"/>
      <c r="Q46" s="127" t="s">
        <v>106</v>
      </c>
      <c r="R46" s="9">
        <f>IF(R42&gt;5, -0.7, IF(AND(R42&gt;1, R42&lt;=5), -0.7+0.05*(5-R42), IF(AND(R42&gt;0.25, R42&lt;=1), -0.5+0.2667*(1-R42), -0.3)))</f>
        <v>-0.36665000000000003</v>
      </c>
      <c r="S46" s="127"/>
      <c r="W46" s="21"/>
    </row>
    <row r="47" spans="2:23" x14ac:dyDescent="0.25">
      <c r="B47" s="20" t="s">
        <v>24</v>
      </c>
      <c r="C47" s="103">
        <v>2.5</v>
      </c>
      <c r="E47">
        <v>8</v>
      </c>
      <c r="F47" s="5" t="str">
        <f t="shared" si="12"/>
        <v/>
      </c>
      <c r="G47" s="6" t="str">
        <f t="shared" si="9"/>
        <v/>
      </c>
      <c r="I47" s="6" t="str">
        <f t="shared" si="10"/>
        <v/>
      </c>
      <c r="J47" s="59" t="str">
        <f t="shared" si="11"/>
        <v/>
      </c>
      <c r="L47" s="92" t="s">
        <v>114</v>
      </c>
      <c r="M47" s="109" t="s">
        <v>115</v>
      </c>
      <c r="N47" s="127"/>
      <c r="O47" s="127"/>
      <c r="Q47" s="127" t="s">
        <v>140</v>
      </c>
      <c r="R47" s="9">
        <f>MAX(0.6*R39, M45)</f>
        <v>10</v>
      </c>
      <c r="S47" t="s">
        <v>5</v>
      </c>
      <c r="W47" s="21"/>
    </row>
    <row r="48" spans="2:23" x14ac:dyDescent="0.25">
      <c r="B48" s="22" t="s">
        <v>25</v>
      </c>
      <c r="C48" s="103">
        <v>4</v>
      </c>
      <c r="E48">
        <v>9</v>
      </c>
      <c r="F48" s="5" t="str">
        <f t="shared" si="12"/>
        <v/>
      </c>
      <c r="G48" s="6" t="str">
        <f t="shared" si="9"/>
        <v/>
      </c>
      <c r="I48" s="6" t="str">
        <f t="shared" si="10"/>
        <v/>
      </c>
      <c r="J48" s="59" t="str">
        <f t="shared" si="11"/>
        <v/>
      </c>
      <c r="L48" s="92" t="s">
        <v>107</v>
      </c>
      <c r="M48" s="103">
        <v>1</v>
      </c>
      <c r="N48" s="127"/>
      <c r="O48" s="127"/>
      <c r="Q48" s="127" t="s">
        <v>132</v>
      </c>
      <c r="R48" s="9">
        <f>IF(R47&gt;M45,300*(R47/200)^M46, 300*(M45/200)^M46)</f>
        <v>40.311704110874103</v>
      </c>
      <c r="W48" s="21"/>
    </row>
    <row r="49" spans="2:23" x14ac:dyDescent="0.25">
      <c r="B49" s="20" t="s">
        <v>19</v>
      </c>
      <c r="C49" s="103">
        <v>0.02</v>
      </c>
      <c r="E49" s="119" t="s">
        <v>97</v>
      </c>
      <c r="F49" s="7">
        <f>SUM(F40:F48)</f>
        <v>3061.8</v>
      </c>
      <c r="G49" s="7">
        <f>SUM(G40:G48)</f>
        <v>312.11009174311926</v>
      </c>
      <c r="H49" s="7"/>
      <c r="I49" s="7">
        <f t="shared" ref="I49:J49" si="13">SUM(I40:I48)</f>
        <v>2144.3119266055046</v>
      </c>
      <c r="J49" s="93">
        <f t="shared" si="13"/>
        <v>0</v>
      </c>
      <c r="L49" s="92" t="s">
        <v>109</v>
      </c>
      <c r="M49" s="103">
        <v>1</v>
      </c>
      <c r="N49" s="127"/>
      <c r="O49" s="127"/>
      <c r="Q49" s="127" t="s">
        <v>142</v>
      </c>
      <c r="R49" s="9">
        <f>IF(R47&lt;=$M$45, $R$37*LN($M$45/$M$44),  $R$37*LN(R47/$M$44))</f>
        <v>0.53956204167502331</v>
      </c>
      <c r="W49" s="21"/>
    </row>
    <row r="50" spans="2:23" x14ac:dyDescent="0.25">
      <c r="B50" s="20" t="s">
        <v>20</v>
      </c>
      <c r="C50" s="103">
        <f>IF((C51/C48) &lt; 0.05, C51/C48, IF((C51/C48) &lt; 0.01, 0.05, 0.1))</f>
        <v>0</v>
      </c>
      <c r="J50" s="21"/>
      <c r="L50" s="20"/>
      <c r="O50" s="127"/>
      <c r="Q50" s="127" t="s">
        <v>141</v>
      </c>
      <c r="R50" s="9">
        <f>R49*$M$48*$R$38</f>
        <v>13.489051041875582</v>
      </c>
      <c r="S50" t="s">
        <v>103</v>
      </c>
      <c r="W50" s="21"/>
    </row>
    <row r="51" spans="2:23" x14ac:dyDescent="0.25">
      <c r="B51" s="20" t="s">
        <v>21</v>
      </c>
      <c r="C51" s="6">
        <f>IF(C37=0, 0, C45/C44 * C53)</f>
        <v>0</v>
      </c>
      <c r="E51" s="113" t="s">
        <v>38</v>
      </c>
      <c r="J51" s="21"/>
      <c r="L51" s="20"/>
      <c r="M51" s="16" t="s">
        <v>93</v>
      </c>
      <c r="N51" s="16" t="s">
        <v>94</v>
      </c>
      <c r="O51" s="16" t="s">
        <v>223</v>
      </c>
      <c r="Q51" s="127" t="s">
        <v>133</v>
      </c>
      <c r="R51" s="145">
        <f>1 / (1+3/2*SQRT((C4/R48)^2 + (R39/R48)^2 + (C4*R39/R48^2)^2))</f>
        <v>0.49946609039719109</v>
      </c>
      <c r="W51" s="21"/>
    </row>
    <row r="52" spans="2:23" x14ac:dyDescent="0.25">
      <c r="B52" s="20" t="s">
        <v>22</v>
      </c>
      <c r="C52" s="6">
        <f>IF(C38*C10 &lt;= 1, 2, 1+C38)</f>
        <v>2</v>
      </c>
      <c r="E52" s="114" t="s">
        <v>3</v>
      </c>
      <c r="F52" s="114" t="s">
        <v>35</v>
      </c>
      <c r="G52" s="114" t="s">
        <v>37</v>
      </c>
      <c r="H52" s="114" t="s">
        <v>39</v>
      </c>
      <c r="I52" s="114" t="s">
        <v>40</v>
      </c>
      <c r="J52" s="116"/>
      <c r="L52" s="92" t="s">
        <v>130</v>
      </c>
      <c r="M52" s="9">
        <f>IF($R$39&lt;15, 1, (1+2*M54*$R$59*SQRT($R$51+M56))/(1+7*$R$59))</f>
        <v>1</v>
      </c>
      <c r="N52" s="9">
        <f>IF($R$39&lt;15, 1, (1+2*N54*$R$59*SQRT($R$51+N56))/(1+7*$R$59))</f>
        <v>1</v>
      </c>
      <c r="O52" s="9">
        <f>IF($R$39&lt;15, 1, (1+2*O54*$R$59*SQRT($R$51+O56))/(1+7*$R$59))</f>
        <v>1</v>
      </c>
      <c r="Q52" s="1" t="s">
        <v>145</v>
      </c>
      <c r="R52" s="103">
        <v>0.05</v>
      </c>
      <c r="W52" s="21"/>
    </row>
    <row r="53" spans="2:23" x14ac:dyDescent="0.25">
      <c r="B53" s="20" t="s">
        <v>23</v>
      </c>
      <c r="C53" s="103">
        <v>1</v>
      </c>
      <c r="E53">
        <v>1</v>
      </c>
      <c r="F53" s="6">
        <f>IF(C24&lt;&gt;"", G40, "")</f>
        <v>107.88990825688074</v>
      </c>
      <c r="G53" s="182"/>
      <c r="H53" s="6">
        <f t="shared" ref="H53:H61" si="14">IF(C24&lt;&gt;"", F53*G53, "")</f>
        <v>0</v>
      </c>
      <c r="I53" s="6">
        <f t="shared" ref="I53:I61" si="15">IF(C24&lt;&gt;"", F53*G53^2, "")</f>
        <v>0</v>
      </c>
      <c r="J53" s="21"/>
      <c r="L53" s="20"/>
      <c r="Q53" s="1" t="s">
        <v>147</v>
      </c>
      <c r="R53" s="144">
        <f>R54*R57*R58</f>
        <v>1.4877072608321089</v>
      </c>
      <c r="W53" s="21"/>
    </row>
    <row r="54" spans="2:23" x14ac:dyDescent="0.25">
      <c r="B54" s="20" t="s">
        <v>27</v>
      </c>
      <c r="C54" s="103">
        <v>1</v>
      </c>
      <c r="E54">
        <v>2</v>
      </c>
      <c r="F54" s="6">
        <f>G41</f>
        <v>107.88990825688074</v>
      </c>
      <c r="G54" s="182"/>
      <c r="H54" s="6">
        <f t="shared" si="14"/>
        <v>0</v>
      </c>
      <c r="I54" s="6">
        <f t="shared" si="15"/>
        <v>0</v>
      </c>
      <c r="J54" s="21"/>
      <c r="L54" s="22" t="s">
        <v>157</v>
      </c>
      <c r="M54" s="9" t="e">
        <f>MAX(3, SQRT(2*LN(M55*600))+0.6/(SQRT(2*LN(M55*600))))</f>
        <v>#DIV/0!</v>
      </c>
      <c r="N54" s="9" t="e">
        <f>MAX(3, SQRT(2*LN(N55*600))+0.6/(SQRT(2*LN(N55*600))))</f>
        <v>#DIV/0!</v>
      </c>
      <c r="O54" s="9" t="e">
        <f>MAX(3, SQRT(2*LN(O55*600))+0.6/(SQRT(2*LN(O55*600))))</f>
        <v>#DIV/0!</v>
      </c>
      <c r="Q54" s="1" t="s">
        <v>149</v>
      </c>
      <c r="R54" s="6">
        <f>IF(R43&lt;=0.2, 2, IF(R43&lt;=0.7, 0.3193*LN(R43)+2.5139, IF(R43&lt;=5, -0.7121*LN(R43)+2.146, IF(R43&lt;=10, -0.1443*LN(R43)+1.2322, 0.9))))</f>
        <v>2.2410877046879225</v>
      </c>
      <c r="W54" s="21"/>
    </row>
    <row r="55" spans="2:23" x14ac:dyDescent="0.25">
      <c r="B55" s="20" t="s">
        <v>42</v>
      </c>
      <c r="C55" s="103">
        <v>4</v>
      </c>
      <c r="E55">
        <v>3</v>
      </c>
      <c r="F55" s="6">
        <f>G42</f>
        <v>96.330275229357795</v>
      </c>
      <c r="G55" s="182"/>
      <c r="H55" s="6">
        <f t="shared" si="14"/>
        <v>0</v>
      </c>
      <c r="I55" s="6">
        <f t="shared" si="15"/>
        <v>0</v>
      </c>
      <c r="J55" s="21"/>
      <c r="L55" s="22" t="s">
        <v>228</v>
      </c>
      <c r="M55" s="9" t="e">
        <f>MAX(M67*SQRT(M56/($R$51+M56)), 0.08)</f>
        <v>#DIV/0!</v>
      </c>
      <c r="N55" s="9" t="e">
        <f t="shared" ref="N55" si="16">MAX(N67*SQRT(N56/($R$51+N56)), 0.08)</f>
        <v>#DIV/0!</v>
      </c>
      <c r="O55" s="9" t="e">
        <f>MAX(O67*SQRT(O56/($R$51+O56)), 0.08)</f>
        <v>#DIV/0!</v>
      </c>
      <c r="Q55" s="1" t="s">
        <v>153</v>
      </c>
      <c r="R55" s="6">
        <f>MAX(R39,R41)/MIN(R39,R41)</f>
        <v>2.2857142857142856</v>
      </c>
      <c r="W55" s="21"/>
    </row>
    <row r="56" spans="2:23" x14ac:dyDescent="0.25">
      <c r="B56" s="20" t="s">
        <v>43</v>
      </c>
      <c r="C56" s="182">
        <v>1.92</v>
      </c>
      <c r="E56">
        <v>4</v>
      </c>
      <c r="F56" s="6" t="str">
        <f>IF(C27&lt;&gt;"", G43, "")</f>
        <v/>
      </c>
      <c r="G56" s="103"/>
      <c r="H56" s="6" t="str">
        <f t="shared" si="14"/>
        <v/>
      </c>
      <c r="I56" s="6" t="str">
        <f t="shared" si="15"/>
        <v/>
      </c>
      <c r="J56" s="21"/>
      <c r="L56" s="92" t="s">
        <v>134</v>
      </c>
      <c r="M56" s="9" t="e">
        <f>PI()^2/(2*M64)*M57*M59</f>
        <v>#DIV/0!</v>
      </c>
      <c r="N56" s="146" t="e">
        <f t="shared" ref="N56" si="17">PI()^2/(2*N64)*N57*N59</f>
        <v>#DIV/0!</v>
      </c>
      <c r="O56" s="9" t="e">
        <f>PI()^2/(2*O64)*O57*O59</f>
        <v>#DIV/0!</v>
      </c>
      <c r="Q56" t="s">
        <v>151</v>
      </c>
      <c r="R56" s="6">
        <f>IF(R39&gt;=50, 1.4*R55, IF(R39&lt;15, 2*R55, (2 - 3/175*(R39-15))*R55))</f>
        <v>4.5714285714285712</v>
      </c>
      <c r="W56" s="21"/>
    </row>
    <row r="57" spans="2:23" x14ac:dyDescent="0.25">
      <c r="B57" s="20" t="s">
        <v>44</v>
      </c>
      <c r="C57" s="182">
        <v>1.1000000000000001</v>
      </c>
      <c r="E57">
        <v>5</v>
      </c>
      <c r="F57" s="6" t="str">
        <f t="shared" ref="F57:F58" si="18">G44</f>
        <v/>
      </c>
      <c r="G57" s="103"/>
      <c r="H57" s="6" t="str">
        <f t="shared" si="14"/>
        <v/>
      </c>
      <c r="I57" s="6" t="str">
        <f t="shared" si="15"/>
        <v/>
      </c>
      <c r="J57" s="21"/>
      <c r="L57" s="92" t="s">
        <v>135</v>
      </c>
      <c r="M57" s="144" t="e">
        <f>6.8*M58/(1+10.2*M58)^(5/3)</f>
        <v>#DIV/0!</v>
      </c>
      <c r="N57" s="128" t="e">
        <f>6.8*N58/(1+10.2*N58)^(5/3)</f>
        <v>#DIV/0!</v>
      </c>
      <c r="O57" s="9" t="e">
        <f>6.8*O58/(1+10.2*O58)^(5/3)</f>
        <v>#DIV/0!</v>
      </c>
      <c r="Q57" s="1" t="s">
        <v>150</v>
      </c>
      <c r="R57" s="144">
        <f>IF(R56&lt;=10, 0.6+0.042*LN(R56), 0.441+0.111*LN(R56))</f>
        <v>0.66383268165726528</v>
      </c>
      <c r="W57" s="21"/>
    </row>
    <row r="58" spans="2:23" x14ac:dyDescent="0.25">
      <c r="B58" s="20" t="s">
        <v>45</v>
      </c>
      <c r="C58" s="182">
        <v>1.5</v>
      </c>
      <c r="E58">
        <v>6</v>
      </c>
      <c r="F58" s="6" t="str">
        <f t="shared" si="18"/>
        <v/>
      </c>
      <c r="G58" s="103"/>
      <c r="H58" s="6" t="str">
        <f t="shared" si="14"/>
        <v/>
      </c>
      <c r="I58" s="6" t="str">
        <f t="shared" si="15"/>
        <v/>
      </c>
      <c r="J58" s="21"/>
      <c r="L58" s="92" t="s">
        <v>144</v>
      </c>
      <c r="M58" s="9" t="e">
        <f>M67*$R$48/$R$50</f>
        <v>#DIV/0!</v>
      </c>
      <c r="N58" s="9" t="e">
        <f t="shared" ref="N58" si="19">N67*$R$48/$R$50</f>
        <v>#DIV/0!</v>
      </c>
      <c r="O58" s="9" t="e">
        <f>O67*$R$48/$R$50</f>
        <v>#DIV/0!</v>
      </c>
      <c r="Q58" s="1" t="s">
        <v>154</v>
      </c>
      <c r="R58" s="103">
        <v>1</v>
      </c>
      <c r="W58" s="21"/>
    </row>
    <row r="59" spans="2:23" x14ac:dyDescent="0.25">
      <c r="B59" s="20" t="s">
        <v>246</v>
      </c>
      <c r="C59" s="5">
        <f>C56*C57*C58</f>
        <v>3.1680000000000001</v>
      </c>
      <c r="E59">
        <v>7</v>
      </c>
      <c r="F59" s="6" t="str">
        <f>IF(C30&lt;&gt;"", G46, "")</f>
        <v/>
      </c>
      <c r="G59" s="103"/>
      <c r="H59" s="6" t="str">
        <f t="shared" si="14"/>
        <v/>
      </c>
      <c r="I59" s="6" t="str">
        <f t="shared" si="15"/>
        <v/>
      </c>
      <c r="J59" s="21"/>
      <c r="L59" s="92" t="s">
        <v>136</v>
      </c>
      <c r="M59" s="9" t="e">
        <f>1 / (1+SQRT((M60*M62)^2 + (M61*M63)^2+(2*M60*M61*M62*M63/PI())^2))</f>
        <v>#DIV/0!</v>
      </c>
      <c r="N59" s="9" t="e">
        <f>1 / (1+SQRT((N60*N62)^2 + (N61*N63)^2+(2*N60*N61*N62*N63/PI())^2))</f>
        <v>#DIV/0!</v>
      </c>
      <c r="O59" s="9" t="e">
        <f>1 / (1+SQRT((O60*O62)^2 + (O61*O63)^2+(2*O60*O61*O62*O63/PI())^2))</f>
        <v>#DIV/0!</v>
      </c>
      <c r="Q59" s="127" t="s">
        <v>158</v>
      </c>
      <c r="R59" s="9">
        <f>IF(R47&lt;M45, $M$49/($M$48*LN($M$45/$M$44)), $M$49/($M$48*LN(R47/$M$44)))</f>
        <v>0.43429448190325176</v>
      </c>
      <c r="W59" s="21"/>
    </row>
    <row r="60" spans="2:23" ht="15.75" thickBot="1" x14ac:dyDescent="0.3">
      <c r="B60" s="20" t="s">
        <v>49</v>
      </c>
      <c r="C60" s="5">
        <f>IF(T&gt;=TC, C59, MIN( 1 + (C59-1)*TC/T, 3*C59))</f>
        <v>3.1680000000000001</v>
      </c>
      <c r="E60">
        <v>8</v>
      </c>
      <c r="F60" s="6" t="str">
        <f t="shared" ref="F60:F61" si="20">G47</f>
        <v/>
      </c>
      <c r="G60" s="103"/>
      <c r="H60" s="6" t="str">
        <f t="shared" si="14"/>
        <v/>
      </c>
      <c r="I60" s="6" t="str">
        <f t="shared" si="15"/>
        <v/>
      </c>
      <c r="J60" s="21"/>
      <c r="L60" s="92" t="s">
        <v>137</v>
      </c>
      <c r="M60" s="103">
        <v>0.5</v>
      </c>
      <c r="N60" s="103">
        <v>0.5</v>
      </c>
      <c r="O60" s="103">
        <v>0.5</v>
      </c>
      <c r="W60" s="21"/>
    </row>
    <row r="61" spans="2:23" x14ac:dyDescent="0.25">
      <c r="B61" s="20" t="s">
        <v>41</v>
      </c>
      <c r="C61" s="5">
        <f>IF(T&lt;=TA, C57*C58, IF(T&lt;=TB, C57*C58 + (C59-C57*C58)*(T-TA)/(TB-TA), C59))</f>
        <v>3.1680000000000001</v>
      </c>
      <c r="E61">
        <v>9</v>
      </c>
      <c r="F61" s="6" t="str">
        <f t="shared" si="20"/>
        <v/>
      </c>
      <c r="G61" s="103"/>
      <c r="H61" s="6" t="str">
        <f t="shared" si="14"/>
        <v/>
      </c>
      <c r="I61" s="6" t="str">
        <f t="shared" si="15"/>
        <v/>
      </c>
      <c r="J61" s="21"/>
      <c r="L61" s="92" t="s">
        <v>138</v>
      </c>
      <c r="M61" s="103">
        <f>3/8</f>
        <v>0.375</v>
      </c>
      <c r="N61" s="103">
        <f>3/8</f>
        <v>0.375</v>
      </c>
      <c r="O61" s="103">
        <f>3/8</f>
        <v>0.375</v>
      </c>
      <c r="Q61" s="108"/>
      <c r="R61" s="37" t="s">
        <v>216</v>
      </c>
      <c r="S61" s="37"/>
      <c r="T61" s="37"/>
      <c r="U61" s="37"/>
      <c r="V61" s="37"/>
      <c r="W61" s="38"/>
    </row>
    <row r="62" spans="2:23" x14ac:dyDescent="0.25">
      <c r="B62" s="20"/>
      <c r="E62" s="119" t="s">
        <v>97</v>
      </c>
      <c r="F62" s="117"/>
      <c r="G62" s="117"/>
      <c r="H62" s="7">
        <f>SUM(H53:H61)</f>
        <v>0</v>
      </c>
      <c r="I62" s="7">
        <f>SUM(I53:I61)</f>
        <v>0</v>
      </c>
      <c r="J62" s="118"/>
      <c r="L62" s="22" t="s">
        <v>139</v>
      </c>
      <c r="M62" s="6" t="e">
        <f>11.5*$R$41*M67/$R$50</f>
        <v>#DIV/0!</v>
      </c>
      <c r="N62" s="6" t="e">
        <f>11.5*$R$41*N67/$R$50</f>
        <v>#DIV/0!</v>
      </c>
      <c r="O62" s="6" t="e">
        <f t="shared" ref="O62" si="21">11.5*$R$41*O67/$R$50</f>
        <v>#DIV/0!</v>
      </c>
      <c r="Q62" s="20"/>
      <c r="R62" s="105" t="s">
        <v>208</v>
      </c>
      <c r="S62" s="104" t="s">
        <v>116</v>
      </c>
      <c r="T62" s="104" t="s">
        <v>119</v>
      </c>
      <c r="U62" s="104" t="s">
        <v>122</v>
      </c>
      <c r="V62" s="104" t="s">
        <v>123</v>
      </c>
      <c r="W62" s="106" t="s">
        <v>209</v>
      </c>
    </row>
    <row r="63" spans="2:23" x14ac:dyDescent="0.25">
      <c r="B63" s="20" t="s">
        <v>9</v>
      </c>
      <c r="C63" s="183">
        <v>0.84119999999999995</v>
      </c>
      <c r="D63" t="s">
        <v>8</v>
      </c>
      <c r="J63" s="21"/>
      <c r="L63" s="22" t="s">
        <v>143</v>
      </c>
      <c r="M63" s="6" t="e">
        <f>11.5*$R$39*M67/$R$50</f>
        <v>#DIV/0!</v>
      </c>
      <c r="N63" s="6" t="e">
        <f t="shared" ref="N63:O63" si="22">11.5*$R$39*N67/$R$50</f>
        <v>#DIV/0!</v>
      </c>
      <c r="O63" s="6" t="e">
        <f t="shared" si="22"/>
        <v>#DIV/0!</v>
      </c>
      <c r="Q63" s="23" t="s">
        <v>210</v>
      </c>
      <c r="R63" s="5">
        <f>R41</f>
        <v>24</v>
      </c>
      <c r="S63" s="5">
        <f>IF(R63&lt;=Loads!$M$45, Loads!$R$37*LN(Loads!$M$45/Loads!$M$44),  Loads!$R$37*LN(R63/Loads!$M$44))</f>
        <v>0.74470959552073313</v>
      </c>
      <c r="T63" s="5">
        <f>S63*Loads!$M$48*Loads!$R$38</f>
        <v>18.617739888018328</v>
      </c>
      <c r="U63" s="5">
        <f>IF(R63&lt;Loads!$M$45, Loads!$M$49/(Loads!$M$48*LN(Loads!$M$45/Loads!$M$44)),Loads!$M$49/(Loads!$M$48*LN(R63/Loads!$M$44)))</f>
        <v>0.31465798044412485</v>
      </c>
      <c r="V63" s="5">
        <f>(1+7*U63)*0.5*Loads!$M$37*T63^2 / 1000</f>
        <v>0.69380500513356425</v>
      </c>
      <c r="W63" s="33">
        <f>V63*Loads!$R$45</f>
        <v>0.50880190051469942</v>
      </c>
    </row>
    <row r="64" spans="2:23" ht="18.75" thickBot="1" x14ac:dyDescent="0.4">
      <c r="B64" s="125" t="s">
        <v>26</v>
      </c>
      <c r="C64" s="9">
        <f>IF(T&lt;TA, C44/C47, IF(T&lt;TB, C44/(TA-TB) * (C54*(T-TA) + (TB-T)/C47), IF(T&lt;TC, C54*C44, IF(T&lt;TD, C54*C45*C53/T, C54*TD*C45*C53/T^2))))</f>
        <v>0</v>
      </c>
      <c r="D64" t="s">
        <v>6</v>
      </c>
      <c r="E64" t="s">
        <v>47</v>
      </c>
      <c r="F64" s="9" t="e">
        <f>2* SQRT(I62/H62)</f>
        <v>#DIV/0!</v>
      </c>
      <c r="G64" t="s">
        <v>8</v>
      </c>
      <c r="J64" s="21"/>
      <c r="L64" s="22" t="s">
        <v>156</v>
      </c>
      <c r="M64" s="6" t="e">
        <f>$R$52+M65</f>
        <v>#DIV/0!</v>
      </c>
      <c r="N64" s="6" t="e">
        <f t="shared" ref="N64" si="23">$R$52+N65</f>
        <v>#DIV/0!</v>
      </c>
      <c r="O64" s="6" t="e">
        <f>$R$52+O65</f>
        <v>#DIV/0!</v>
      </c>
      <c r="Q64" s="107" t="s">
        <v>211</v>
      </c>
      <c r="R64" s="42">
        <f>Loads!$R$39</f>
        <v>10.5</v>
      </c>
      <c r="S64" s="35">
        <f>IF(R64&lt;=Loads!$M$45, Loads!$R$37*LN(Loads!$M$45/Loads!$M$44),  Loads!$R$37*LN(R64/Loads!$M$44))</f>
        <v>0.55099498314286166</v>
      </c>
      <c r="T64" s="35">
        <f>S64*Loads!$M$48*Loads!$R$38</f>
        <v>13.774874578571541</v>
      </c>
      <c r="U64" s="35">
        <f>IF(R64&lt;Loads!$M$45, Loads!$M$49/(Loads!$M$48*LN(Loads!$M$45/Loads!$M$44)),Loads!$M$49/(Loads!$M$48*LN(R64/Loads!$M$44)))</f>
        <v>0.4252830325374457</v>
      </c>
      <c r="V64" s="35">
        <f>(1+7*U64)*0.5*Loads!$M$37*T64^2 / 1000</f>
        <v>0.47163808233776655</v>
      </c>
      <c r="W64" s="36">
        <f>V64*Loads!$R$45</f>
        <v>0.34587578768240113</v>
      </c>
    </row>
    <row r="65" spans="2:23" ht="15.75" thickBot="1" x14ac:dyDescent="0.3">
      <c r="B65" s="125"/>
      <c r="C65" s="9">
        <f>C64*C10</f>
        <v>0</v>
      </c>
      <c r="D65" t="s">
        <v>7</v>
      </c>
      <c r="J65" s="21"/>
      <c r="L65" s="22" t="s">
        <v>146</v>
      </c>
      <c r="M65" s="6" t="e">
        <f>$R$53*$M$37*$R$41*$R$50/(2*M67*M66)</f>
        <v>#DIV/0!</v>
      </c>
      <c r="N65" s="6" t="e">
        <f>$R$53*$M$37*$R$41*$R$50/(2*N67*N66)</f>
        <v>#DIV/0!</v>
      </c>
      <c r="O65" s="6" t="e">
        <f>$R$53*$M$37*$R$41*$R$50/(2*O67*O66)</f>
        <v>#DIV/0!</v>
      </c>
      <c r="W65" s="21"/>
    </row>
    <row r="66" spans="2:23" x14ac:dyDescent="0.25">
      <c r="B66" s="125" t="s">
        <v>46</v>
      </c>
      <c r="C66" s="9">
        <f>MAX(C64/C61, 0.08*C37)</f>
        <v>0</v>
      </c>
      <c r="D66" t="s">
        <v>6</v>
      </c>
      <c r="J66" s="21"/>
      <c r="L66" s="20" t="s">
        <v>230</v>
      </c>
      <c r="M66" s="6">
        <f>SUMPRODUCT(P73:P81,S73:S81)/SUM(S73:S81)*1000</f>
        <v>69343.7612340177</v>
      </c>
      <c r="N66" s="6">
        <f>SUMPRODUCT(P86:P94,S86:S94)/SUM(S86:S94)*1000</f>
        <v>67573.974287338759</v>
      </c>
      <c r="O66" s="6" t="e">
        <f>SUMPRODUCT(P99:P107,T99:T107)/SUM(T99:T107)*1000</f>
        <v>#DIV/0!</v>
      </c>
      <c r="Q66" s="108"/>
      <c r="R66" s="37" t="s">
        <v>217</v>
      </c>
      <c r="S66" s="37"/>
      <c r="T66" s="37"/>
      <c r="U66" s="37"/>
      <c r="V66" s="37"/>
      <c r="W66" s="38"/>
    </row>
    <row r="67" spans="2:23" x14ac:dyDescent="0.25">
      <c r="B67" s="125"/>
      <c r="C67" s="9">
        <f>C66*C10</f>
        <v>0</v>
      </c>
      <c r="D67" t="s">
        <v>7</v>
      </c>
      <c r="J67" s="21"/>
      <c r="L67" s="92" t="s">
        <v>229</v>
      </c>
      <c r="M67" s="147" t="e">
        <f>1/(2*SQRT(V82/U82))</f>
        <v>#DIV/0!</v>
      </c>
      <c r="N67" s="9" t="e">
        <f>1/(2*SQRT(V95/U95))</f>
        <v>#DIV/0!</v>
      </c>
      <c r="O67" s="9" t="e">
        <f>1/(2*SQRT(V108/U108))</f>
        <v>#DIV/0!</v>
      </c>
      <c r="Q67" s="20"/>
      <c r="R67" s="105" t="s">
        <v>208</v>
      </c>
      <c r="S67" s="104" t="s">
        <v>116</v>
      </c>
      <c r="T67" s="104" t="s">
        <v>119</v>
      </c>
      <c r="U67" s="104" t="s">
        <v>122</v>
      </c>
      <c r="V67" s="104" t="s">
        <v>123</v>
      </c>
      <c r="W67" s="106" t="s">
        <v>209</v>
      </c>
    </row>
    <row r="68" spans="2:23" ht="15.75" thickBot="1" x14ac:dyDescent="0.3">
      <c r="B68" s="20"/>
      <c r="J68" s="21"/>
      <c r="L68" s="20"/>
      <c r="N68" s="6"/>
      <c r="Q68" s="107" t="s">
        <v>211</v>
      </c>
      <c r="R68" s="35">
        <f>R64</f>
        <v>10.5</v>
      </c>
      <c r="S68" s="35">
        <f>IF(R68&lt;=Loads!$M$45, Loads!$R$37*LN(Loads!$M$45/Loads!$M$44),  Loads!$R$37*LN(R68/Loads!$M$44))</f>
        <v>0.55099498314286166</v>
      </c>
      <c r="T68" s="35">
        <f>S68*Loads!$M$48*Loads!$R$38</f>
        <v>13.774874578571541</v>
      </c>
      <c r="U68" s="35">
        <f>IF(R68&lt;Loads!$M$45, Loads!$M$49/(Loads!$M$48*LN(Loads!$M$45/Loads!$M$44)),Loads!$M$49/(Loads!$M$48*LN(R68/Loads!$M$44)))</f>
        <v>0.4252830325374457</v>
      </c>
      <c r="V68" s="35">
        <f>(1+7*U68)*0.5*Loads!$M$37*T68^2 / 1000</f>
        <v>0.47163808233776655</v>
      </c>
      <c r="W68" s="36">
        <f>V68*Loads!$R$46</f>
        <v>-0.17292610288914212</v>
      </c>
    </row>
    <row r="69" spans="2:23" x14ac:dyDescent="0.25">
      <c r="B69" s="20" t="s">
        <v>29</v>
      </c>
      <c r="C69" s="5">
        <f>IF(AND(T&lt;MIN(2*TC, 1.2),C8 &gt; 2), 0.85, 1)</f>
        <v>1</v>
      </c>
      <c r="J69" s="21"/>
      <c r="L69" s="20"/>
      <c r="N69" s="9"/>
      <c r="W69" s="21"/>
    </row>
    <row r="70" spans="2:23" ht="15.75" thickBot="1" x14ac:dyDescent="0.3">
      <c r="B70" s="24" t="s">
        <v>28</v>
      </c>
      <c r="C70" s="42">
        <f>C69*C66*F49</f>
        <v>0</v>
      </c>
      <c r="D70" s="26" t="s">
        <v>31</v>
      </c>
      <c r="E70" s="26"/>
      <c r="F70" s="26"/>
      <c r="G70" s="26"/>
      <c r="H70" s="26"/>
      <c r="I70" s="26"/>
      <c r="J70" s="27"/>
      <c r="L70" s="20"/>
      <c r="W70" s="21"/>
    </row>
    <row r="71" spans="2:23" x14ac:dyDescent="0.25">
      <c r="L71" s="134" t="s">
        <v>243</v>
      </c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21"/>
    </row>
    <row r="72" spans="2:23" x14ac:dyDescent="0.25">
      <c r="L72" s="23" t="s">
        <v>3</v>
      </c>
      <c r="M72" s="2" t="s">
        <v>244</v>
      </c>
      <c r="N72" s="2" t="s">
        <v>35</v>
      </c>
      <c r="O72" s="2" t="s">
        <v>159</v>
      </c>
      <c r="P72" s="2" t="s">
        <v>160</v>
      </c>
      <c r="Q72" s="2" t="s">
        <v>37</v>
      </c>
      <c r="R72" s="2" t="s">
        <v>63</v>
      </c>
      <c r="S72" s="2" t="s">
        <v>161</v>
      </c>
      <c r="T72" s="2" t="s">
        <v>155</v>
      </c>
      <c r="U72" s="2" t="s">
        <v>39</v>
      </c>
      <c r="V72" s="2" t="s">
        <v>40</v>
      </c>
      <c r="W72" s="21"/>
    </row>
    <row r="73" spans="2:23" x14ac:dyDescent="0.25">
      <c r="L73" s="20">
        <v>1</v>
      </c>
      <c r="M73" s="5">
        <f>IF(C24&lt;&gt;"", $C$3*$C$7*I24, "")</f>
        <v>1842.75</v>
      </c>
      <c r="N73" s="6">
        <f t="shared" ref="N73:N81" si="24">IF(C24&lt;&gt;"", M73/$C$10, "")</f>
        <v>187.8440366972477</v>
      </c>
      <c r="O73" s="5">
        <f t="shared" ref="O73:O80" si="25">IF(C24&lt;&gt;"", (F24+F25)/2, "")</f>
        <v>3.5</v>
      </c>
      <c r="P73" s="6">
        <f t="shared" ref="P73:P81" si="26">IF(C24&lt;&gt;"", N73/O73, "")</f>
        <v>53.669724770642198</v>
      </c>
      <c r="Q73" s="160"/>
      <c r="R73" s="110">
        <v>0.33300000000000002</v>
      </c>
      <c r="S73" s="5">
        <f t="shared" ref="S73:S81" si="27">IF(C24&lt;&gt;"", R73^2, "")</f>
        <v>0.11088900000000002</v>
      </c>
      <c r="T73" s="128">
        <f>IF(C24&lt;&gt;"", Q73^2, "")</f>
        <v>0</v>
      </c>
      <c r="U73" s="6">
        <f t="shared" ref="U73:U81" si="28">IF(C24&lt;&gt;"", N73*Q73, "")</f>
        <v>0</v>
      </c>
      <c r="V73" s="6">
        <f>IF(C24&lt;&gt;"", N73*Q73^2, "")</f>
        <v>0</v>
      </c>
      <c r="W73" s="21"/>
    </row>
    <row r="74" spans="2:23" x14ac:dyDescent="0.25">
      <c r="L74" s="20">
        <v>2</v>
      </c>
      <c r="M74" s="5">
        <f t="shared" ref="M74:M81" si="29">IF(C25&lt;&gt;"", $C$3*$C$7*I25, "")</f>
        <v>1842.75</v>
      </c>
      <c r="N74" s="6">
        <f t="shared" si="24"/>
        <v>187.8440366972477</v>
      </c>
      <c r="O74" s="5">
        <f t="shared" si="25"/>
        <v>3.5</v>
      </c>
      <c r="P74" s="6">
        <f t="shared" si="26"/>
        <v>53.669724770642198</v>
      </c>
      <c r="Q74" s="160"/>
      <c r="R74" s="110">
        <v>0.66700000000000004</v>
      </c>
      <c r="S74" s="5">
        <f t="shared" si="27"/>
        <v>0.44488900000000003</v>
      </c>
      <c r="T74" s="128">
        <f t="shared" ref="T74:T81" si="30">IF(C25&lt;&gt;"", Q74^2, "")</f>
        <v>0</v>
      </c>
      <c r="U74" s="6">
        <f t="shared" si="28"/>
        <v>0</v>
      </c>
      <c r="V74" s="6">
        <f t="shared" ref="V74:V81" si="31">IF(C25&lt;&gt;"", N74*Q74^2, "")</f>
        <v>0</v>
      </c>
      <c r="W74" s="21"/>
    </row>
    <row r="75" spans="2:23" x14ac:dyDescent="0.25">
      <c r="L75" s="20">
        <v>3</v>
      </c>
      <c r="M75" s="5">
        <f t="shared" si="29"/>
        <v>1340.01</v>
      </c>
      <c r="N75" s="6">
        <f t="shared" si="24"/>
        <v>136.59633027522935</v>
      </c>
      <c r="O75" s="5">
        <f t="shared" si="25"/>
        <v>1.75</v>
      </c>
      <c r="P75" s="6">
        <f t="shared" si="26"/>
        <v>78.055045871559628</v>
      </c>
      <c r="Q75" s="160"/>
      <c r="R75" s="110">
        <v>1</v>
      </c>
      <c r="S75" s="5">
        <f t="shared" si="27"/>
        <v>1</v>
      </c>
      <c r="T75" s="128">
        <f t="shared" si="30"/>
        <v>0</v>
      </c>
      <c r="U75" s="6">
        <f t="shared" si="28"/>
        <v>0</v>
      </c>
      <c r="V75" s="6">
        <f t="shared" si="31"/>
        <v>0</v>
      </c>
      <c r="W75" s="21"/>
    </row>
    <row r="76" spans="2:23" x14ac:dyDescent="0.25">
      <c r="L76" s="20">
        <v>4</v>
      </c>
      <c r="M76" s="5" t="str">
        <f t="shared" si="29"/>
        <v/>
      </c>
      <c r="N76" s="6" t="str">
        <f t="shared" si="24"/>
        <v/>
      </c>
      <c r="O76" s="5" t="str">
        <f t="shared" si="25"/>
        <v/>
      </c>
      <c r="P76" s="6" t="str">
        <f t="shared" si="26"/>
        <v/>
      </c>
      <c r="Q76" s="103"/>
      <c r="R76" s="110"/>
      <c r="S76" s="5" t="str">
        <f t="shared" si="27"/>
        <v/>
      </c>
      <c r="T76" s="128" t="str">
        <f t="shared" si="30"/>
        <v/>
      </c>
      <c r="U76" s="6" t="str">
        <f t="shared" si="28"/>
        <v/>
      </c>
      <c r="V76" s="6" t="str">
        <f t="shared" si="31"/>
        <v/>
      </c>
      <c r="W76" s="21"/>
    </row>
    <row r="77" spans="2:23" x14ac:dyDescent="0.25">
      <c r="L77" s="20">
        <v>5</v>
      </c>
      <c r="M77" s="5" t="str">
        <f t="shared" si="29"/>
        <v/>
      </c>
      <c r="N77" s="6" t="str">
        <f t="shared" si="24"/>
        <v/>
      </c>
      <c r="O77" s="5" t="str">
        <f t="shared" si="25"/>
        <v/>
      </c>
      <c r="P77" s="6" t="str">
        <f t="shared" si="26"/>
        <v/>
      </c>
      <c r="Q77" s="103"/>
      <c r="R77" s="110"/>
      <c r="S77" s="5" t="str">
        <f t="shared" si="27"/>
        <v/>
      </c>
      <c r="T77" s="128" t="str">
        <f t="shared" si="30"/>
        <v/>
      </c>
      <c r="U77" s="6" t="str">
        <f t="shared" si="28"/>
        <v/>
      </c>
      <c r="V77" s="6" t="str">
        <f t="shared" si="31"/>
        <v/>
      </c>
      <c r="W77" s="21"/>
    </row>
    <row r="78" spans="2:23" x14ac:dyDescent="0.25">
      <c r="L78" s="20">
        <v>6</v>
      </c>
      <c r="M78" s="5" t="str">
        <f t="shared" si="29"/>
        <v/>
      </c>
      <c r="N78" s="6" t="str">
        <f t="shared" si="24"/>
        <v/>
      </c>
      <c r="O78" s="5" t="str">
        <f t="shared" si="25"/>
        <v/>
      </c>
      <c r="P78" s="6" t="str">
        <f t="shared" si="26"/>
        <v/>
      </c>
      <c r="Q78" s="103"/>
      <c r="R78" s="110"/>
      <c r="S78" s="5" t="str">
        <f t="shared" si="27"/>
        <v/>
      </c>
      <c r="T78" s="128" t="str">
        <f t="shared" si="30"/>
        <v/>
      </c>
      <c r="U78" s="6" t="str">
        <f t="shared" si="28"/>
        <v/>
      </c>
      <c r="V78" s="6" t="str">
        <f t="shared" si="31"/>
        <v/>
      </c>
      <c r="W78" s="21"/>
    </row>
    <row r="79" spans="2:23" x14ac:dyDescent="0.25">
      <c r="L79" s="20">
        <v>7</v>
      </c>
      <c r="M79" s="5" t="str">
        <f t="shared" si="29"/>
        <v/>
      </c>
      <c r="N79" s="6" t="str">
        <f t="shared" si="24"/>
        <v/>
      </c>
      <c r="O79" s="5" t="str">
        <f t="shared" si="25"/>
        <v/>
      </c>
      <c r="P79" s="6" t="str">
        <f t="shared" si="26"/>
        <v/>
      </c>
      <c r="Q79" s="103"/>
      <c r="R79" s="103"/>
      <c r="S79" s="5" t="str">
        <f t="shared" si="27"/>
        <v/>
      </c>
      <c r="T79" s="128" t="str">
        <f t="shared" si="30"/>
        <v/>
      </c>
      <c r="U79" s="6" t="str">
        <f t="shared" si="28"/>
        <v/>
      </c>
      <c r="V79" s="6" t="str">
        <f t="shared" si="31"/>
        <v/>
      </c>
      <c r="W79" s="21"/>
    </row>
    <row r="80" spans="2:23" x14ac:dyDescent="0.25">
      <c r="L80" s="20">
        <v>8</v>
      </c>
      <c r="M80" s="5" t="str">
        <f t="shared" si="29"/>
        <v/>
      </c>
      <c r="N80" s="6" t="str">
        <f t="shared" si="24"/>
        <v/>
      </c>
      <c r="O80" s="5" t="str">
        <f t="shared" si="25"/>
        <v/>
      </c>
      <c r="P80" s="6" t="str">
        <f t="shared" si="26"/>
        <v/>
      </c>
      <c r="Q80" s="103"/>
      <c r="R80" s="103"/>
      <c r="S80" s="5" t="str">
        <f t="shared" si="27"/>
        <v/>
      </c>
      <c r="T80" s="128" t="str">
        <f t="shared" si="30"/>
        <v/>
      </c>
      <c r="U80" s="6" t="str">
        <f t="shared" si="28"/>
        <v/>
      </c>
      <c r="V80" s="6" t="str">
        <f t="shared" si="31"/>
        <v/>
      </c>
      <c r="W80" s="21"/>
    </row>
    <row r="81" spans="12:23" x14ac:dyDescent="0.25">
      <c r="L81" s="20">
        <v>9</v>
      </c>
      <c r="M81" s="5" t="str">
        <f t="shared" si="29"/>
        <v/>
      </c>
      <c r="N81" s="6" t="str">
        <f t="shared" si="24"/>
        <v/>
      </c>
      <c r="O81" s="5" t="str">
        <f>IF(C32&lt;&gt;"", (F32+F34)/2, "")</f>
        <v/>
      </c>
      <c r="P81" s="6" t="str">
        <f t="shared" si="26"/>
        <v/>
      </c>
      <c r="Q81" s="103"/>
      <c r="R81" s="103"/>
      <c r="S81" s="5" t="str">
        <f t="shared" si="27"/>
        <v/>
      </c>
      <c r="T81" s="128" t="str">
        <f t="shared" si="30"/>
        <v/>
      </c>
      <c r="U81" s="6" t="str">
        <f t="shared" si="28"/>
        <v/>
      </c>
      <c r="V81" s="6" t="str">
        <f t="shared" si="31"/>
        <v/>
      </c>
      <c r="W81" s="21"/>
    </row>
    <row r="82" spans="12:23" x14ac:dyDescent="0.25">
      <c r="L82" s="120"/>
      <c r="M82" s="117"/>
      <c r="N82" s="117"/>
      <c r="O82" s="117"/>
      <c r="P82" s="117"/>
      <c r="Q82" s="121"/>
      <c r="R82" s="117"/>
      <c r="S82" s="117"/>
      <c r="T82" s="117"/>
      <c r="U82" s="7">
        <f>SUM(U73:U81)</f>
        <v>0</v>
      </c>
      <c r="V82" s="7">
        <f>SUM(V73:V81)</f>
        <v>0</v>
      </c>
      <c r="W82" s="21"/>
    </row>
    <row r="83" spans="12:23" x14ac:dyDescent="0.25">
      <c r="L83" s="20"/>
      <c r="Q83" s="6"/>
      <c r="W83" s="21"/>
    </row>
    <row r="84" spans="12:23" x14ac:dyDescent="0.25">
      <c r="L84" s="134" t="s">
        <v>256</v>
      </c>
      <c r="M84" s="112"/>
      <c r="N84" s="112"/>
      <c r="O84" s="112"/>
      <c r="P84" s="112"/>
      <c r="Q84" s="135"/>
      <c r="R84" s="112"/>
      <c r="S84" s="112"/>
      <c r="T84" s="112"/>
      <c r="U84" s="112"/>
      <c r="V84" s="112"/>
      <c r="W84" s="21"/>
    </row>
    <row r="85" spans="12:23" x14ac:dyDescent="0.25">
      <c r="L85" s="23" t="s">
        <v>3</v>
      </c>
      <c r="M85" s="2" t="s">
        <v>244</v>
      </c>
      <c r="N85" s="2" t="s">
        <v>35</v>
      </c>
      <c r="O85" s="2" t="s">
        <v>159</v>
      </c>
      <c r="P85" s="2" t="s">
        <v>160</v>
      </c>
      <c r="Q85" s="2" t="s">
        <v>37</v>
      </c>
      <c r="R85" s="2" t="s">
        <v>63</v>
      </c>
      <c r="S85" s="2" t="s">
        <v>161</v>
      </c>
      <c r="T85" s="2" t="s">
        <v>155</v>
      </c>
      <c r="U85" s="2" t="s">
        <v>39</v>
      </c>
      <c r="V85" s="2" t="s">
        <v>40</v>
      </c>
      <c r="W85" s="21"/>
    </row>
    <row r="86" spans="12:23" x14ac:dyDescent="0.25">
      <c r="L86" s="20">
        <v>1</v>
      </c>
      <c r="M86" s="5">
        <f t="shared" ref="M86:M94" si="32">IF(C24&lt;&gt;"", $C$3*$C$7*J24, "")</f>
        <v>1672.6499999999999</v>
      </c>
      <c r="N86" s="6">
        <f t="shared" ref="N86:N94" si="33">IF(C24&lt;&gt;"", M86/$C$10, "")</f>
        <v>170.50458715596329</v>
      </c>
      <c r="O86" s="5">
        <f t="shared" ref="O86:O94" si="34">IF(C24&lt;&gt;"", O73,"")</f>
        <v>3.5</v>
      </c>
      <c r="P86" s="6">
        <f t="shared" ref="P86:P94" si="35">IF(C24&lt;&gt;"", N86/O86, "")</f>
        <v>48.715596330275226</v>
      </c>
      <c r="Q86" s="160"/>
      <c r="R86" s="110">
        <v>0.33300000000000002</v>
      </c>
      <c r="S86" s="5">
        <f t="shared" ref="S86:S94" si="36">IF(C24&lt;&gt;"", R86^2, "")</f>
        <v>0.11088900000000002</v>
      </c>
      <c r="T86" s="128">
        <f t="shared" ref="T86:T94" si="37">IF(C24&lt;&gt;"", Q86^2, "")</f>
        <v>0</v>
      </c>
      <c r="U86" s="6">
        <f t="shared" ref="U86:U94" si="38">IF(C24&lt;&gt;"", N86*Q86, "")</f>
        <v>0</v>
      </c>
      <c r="V86" s="6">
        <f t="shared" ref="V86:V94" si="39">IF(C24&lt;&gt;"", N86*Q86^2, "")</f>
        <v>0</v>
      </c>
      <c r="W86" s="21"/>
    </row>
    <row r="87" spans="12:23" x14ac:dyDescent="0.25">
      <c r="L87" s="20">
        <v>2</v>
      </c>
      <c r="M87" s="5">
        <f t="shared" si="32"/>
        <v>1672.6499999999999</v>
      </c>
      <c r="N87" s="6">
        <f t="shared" si="33"/>
        <v>170.50458715596329</v>
      </c>
      <c r="O87" s="5">
        <f t="shared" si="34"/>
        <v>3.5</v>
      </c>
      <c r="P87" s="6">
        <f t="shared" si="35"/>
        <v>48.715596330275226</v>
      </c>
      <c r="Q87" s="160"/>
      <c r="R87" s="110">
        <v>0.66700000000000004</v>
      </c>
      <c r="S87" s="5">
        <f t="shared" si="36"/>
        <v>0.44488900000000003</v>
      </c>
      <c r="T87" s="128">
        <f t="shared" si="37"/>
        <v>0</v>
      </c>
      <c r="U87" s="6">
        <f t="shared" si="38"/>
        <v>0</v>
      </c>
      <c r="V87" s="6">
        <f t="shared" si="39"/>
        <v>0</v>
      </c>
      <c r="W87" s="21"/>
    </row>
    <row r="88" spans="12:23" x14ac:dyDescent="0.25">
      <c r="L88" s="20">
        <v>3</v>
      </c>
      <c r="M88" s="5">
        <f t="shared" si="32"/>
        <v>1340.01</v>
      </c>
      <c r="N88" s="6">
        <f t="shared" si="33"/>
        <v>136.59633027522935</v>
      </c>
      <c r="O88" s="5">
        <f t="shared" si="34"/>
        <v>1.75</v>
      </c>
      <c r="P88" s="6">
        <f t="shared" si="35"/>
        <v>78.055045871559628</v>
      </c>
      <c r="Q88" s="160"/>
      <c r="R88" s="110">
        <v>1</v>
      </c>
      <c r="S88" s="5">
        <f t="shared" si="36"/>
        <v>1</v>
      </c>
      <c r="T88" s="128">
        <f t="shared" si="37"/>
        <v>0</v>
      </c>
      <c r="U88" s="6">
        <f t="shared" si="38"/>
        <v>0</v>
      </c>
      <c r="V88" s="6">
        <f t="shared" si="39"/>
        <v>0</v>
      </c>
      <c r="W88" s="21"/>
    </row>
    <row r="89" spans="12:23" x14ac:dyDescent="0.25">
      <c r="L89" s="20">
        <v>4</v>
      </c>
      <c r="M89" s="5" t="str">
        <f t="shared" si="32"/>
        <v/>
      </c>
      <c r="N89" s="6" t="str">
        <f t="shared" si="33"/>
        <v/>
      </c>
      <c r="O89" s="5" t="str">
        <f t="shared" si="34"/>
        <v/>
      </c>
      <c r="P89" s="6" t="str">
        <f t="shared" si="35"/>
        <v/>
      </c>
      <c r="Q89" s="103"/>
      <c r="R89" s="110"/>
      <c r="S89" s="5" t="str">
        <f t="shared" si="36"/>
        <v/>
      </c>
      <c r="T89" s="128" t="str">
        <f t="shared" si="37"/>
        <v/>
      </c>
      <c r="U89" s="6" t="str">
        <f t="shared" si="38"/>
        <v/>
      </c>
      <c r="V89" s="6" t="str">
        <f t="shared" si="39"/>
        <v/>
      </c>
      <c r="W89" s="21"/>
    </row>
    <row r="90" spans="12:23" x14ac:dyDescent="0.25">
      <c r="L90" s="20">
        <v>5</v>
      </c>
      <c r="M90" s="5" t="str">
        <f t="shared" si="32"/>
        <v/>
      </c>
      <c r="N90" s="6" t="str">
        <f t="shared" si="33"/>
        <v/>
      </c>
      <c r="O90" s="5" t="str">
        <f t="shared" si="34"/>
        <v/>
      </c>
      <c r="P90" s="6" t="str">
        <f t="shared" si="35"/>
        <v/>
      </c>
      <c r="Q90" s="103"/>
      <c r="R90" s="110"/>
      <c r="S90" s="5" t="str">
        <f t="shared" si="36"/>
        <v/>
      </c>
      <c r="T90" s="128" t="str">
        <f t="shared" si="37"/>
        <v/>
      </c>
      <c r="U90" s="6" t="str">
        <f t="shared" si="38"/>
        <v/>
      </c>
      <c r="V90" s="6" t="str">
        <f t="shared" si="39"/>
        <v/>
      </c>
      <c r="W90" s="21"/>
    </row>
    <row r="91" spans="12:23" x14ac:dyDescent="0.25">
      <c r="L91" s="20">
        <v>6</v>
      </c>
      <c r="M91" s="5" t="str">
        <f t="shared" si="32"/>
        <v/>
      </c>
      <c r="N91" s="6" t="str">
        <f t="shared" si="33"/>
        <v/>
      </c>
      <c r="O91" s="5" t="str">
        <f t="shared" si="34"/>
        <v/>
      </c>
      <c r="P91" s="6" t="str">
        <f t="shared" si="35"/>
        <v/>
      </c>
      <c r="Q91" s="103"/>
      <c r="R91" s="110"/>
      <c r="S91" s="5" t="str">
        <f t="shared" si="36"/>
        <v/>
      </c>
      <c r="T91" s="128" t="str">
        <f t="shared" si="37"/>
        <v/>
      </c>
      <c r="U91" s="6" t="str">
        <f t="shared" si="38"/>
        <v/>
      </c>
      <c r="V91" s="6" t="str">
        <f t="shared" si="39"/>
        <v/>
      </c>
      <c r="W91" s="21"/>
    </row>
    <row r="92" spans="12:23" x14ac:dyDescent="0.25">
      <c r="L92" s="20">
        <v>7</v>
      </c>
      <c r="M92" s="5" t="str">
        <f t="shared" si="32"/>
        <v/>
      </c>
      <c r="N92" s="6" t="str">
        <f t="shared" si="33"/>
        <v/>
      </c>
      <c r="O92" s="5" t="str">
        <f t="shared" si="34"/>
        <v/>
      </c>
      <c r="P92" s="6" t="str">
        <f t="shared" si="35"/>
        <v/>
      </c>
      <c r="Q92" s="103"/>
      <c r="R92" s="103"/>
      <c r="S92" s="5" t="str">
        <f t="shared" si="36"/>
        <v/>
      </c>
      <c r="T92" s="128" t="str">
        <f t="shared" si="37"/>
        <v/>
      </c>
      <c r="U92" s="6" t="str">
        <f t="shared" si="38"/>
        <v/>
      </c>
      <c r="V92" s="6" t="str">
        <f t="shared" si="39"/>
        <v/>
      </c>
      <c r="W92" s="21"/>
    </row>
    <row r="93" spans="12:23" x14ac:dyDescent="0.25">
      <c r="L93" s="20">
        <v>8</v>
      </c>
      <c r="M93" s="5" t="str">
        <f t="shared" si="32"/>
        <v/>
      </c>
      <c r="N93" s="6" t="str">
        <f t="shared" si="33"/>
        <v/>
      </c>
      <c r="O93" s="5" t="str">
        <f t="shared" si="34"/>
        <v/>
      </c>
      <c r="P93" s="6" t="str">
        <f t="shared" si="35"/>
        <v/>
      </c>
      <c r="Q93" s="103"/>
      <c r="R93" s="103"/>
      <c r="S93" s="5" t="str">
        <f t="shared" si="36"/>
        <v/>
      </c>
      <c r="T93" s="128" t="str">
        <f t="shared" si="37"/>
        <v/>
      </c>
      <c r="U93" s="6" t="str">
        <f t="shared" si="38"/>
        <v/>
      </c>
      <c r="V93" s="6" t="str">
        <f t="shared" si="39"/>
        <v/>
      </c>
      <c r="W93" s="21"/>
    </row>
    <row r="94" spans="12:23" x14ac:dyDescent="0.25">
      <c r="L94" s="20">
        <v>9</v>
      </c>
      <c r="M94" s="5" t="str">
        <f t="shared" si="32"/>
        <v/>
      </c>
      <c r="N94" s="6" t="str">
        <f t="shared" si="33"/>
        <v/>
      </c>
      <c r="O94" s="5" t="str">
        <f t="shared" si="34"/>
        <v/>
      </c>
      <c r="P94" s="6" t="str">
        <f t="shared" si="35"/>
        <v/>
      </c>
      <c r="Q94" s="103"/>
      <c r="R94" s="103"/>
      <c r="S94" s="5" t="str">
        <f t="shared" si="36"/>
        <v/>
      </c>
      <c r="T94" s="128" t="str">
        <f t="shared" si="37"/>
        <v/>
      </c>
      <c r="U94" s="6" t="str">
        <f t="shared" si="38"/>
        <v/>
      </c>
      <c r="V94" s="6" t="str">
        <f t="shared" si="39"/>
        <v/>
      </c>
      <c r="W94" s="21"/>
    </row>
    <row r="95" spans="12:23" x14ac:dyDescent="0.25">
      <c r="L95" s="120"/>
      <c r="M95" s="117"/>
      <c r="N95" s="117"/>
      <c r="O95" s="117"/>
      <c r="P95" s="117"/>
      <c r="Q95" s="117"/>
      <c r="R95" s="117"/>
      <c r="S95" s="117"/>
      <c r="T95" s="117"/>
      <c r="U95" s="7">
        <f>SUM(U86:U94)</f>
        <v>0</v>
      </c>
      <c r="V95" s="7">
        <f>SUM(V86:V94)</f>
        <v>0</v>
      </c>
      <c r="W95" s="21"/>
    </row>
    <row r="96" spans="12:23" x14ac:dyDescent="0.25">
      <c r="L96" s="20"/>
      <c r="W96" s="21"/>
    </row>
    <row r="97" spans="12:23" x14ac:dyDescent="0.25">
      <c r="L97" s="134" t="s">
        <v>255</v>
      </c>
      <c r="M97" s="112"/>
      <c r="N97" s="112"/>
      <c r="O97" s="112"/>
      <c r="P97" s="112"/>
      <c r="Q97" s="135"/>
      <c r="R97" s="112"/>
      <c r="S97" s="112"/>
      <c r="T97" s="112"/>
      <c r="U97" s="112"/>
      <c r="V97" s="112"/>
      <c r="W97" s="21"/>
    </row>
    <row r="98" spans="12:23" x14ac:dyDescent="0.25">
      <c r="L98" s="23" t="s">
        <v>3</v>
      </c>
      <c r="M98" s="2" t="s">
        <v>244</v>
      </c>
      <c r="N98" s="2" t="s">
        <v>35</v>
      </c>
      <c r="O98" s="2" t="s">
        <v>159</v>
      </c>
      <c r="P98" s="2" t="s">
        <v>160</v>
      </c>
      <c r="Q98" s="2" t="s">
        <v>37</v>
      </c>
      <c r="R98" s="2" t="s">
        <v>63</v>
      </c>
      <c r="S98" s="2" t="s">
        <v>161</v>
      </c>
      <c r="T98" s="2" t="s">
        <v>155</v>
      </c>
      <c r="U98" s="2" t="s">
        <v>39</v>
      </c>
      <c r="V98" s="2" t="s">
        <v>40</v>
      </c>
      <c r="W98" s="21"/>
    </row>
    <row r="99" spans="12:23" x14ac:dyDescent="0.25">
      <c r="L99" s="20">
        <v>1</v>
      </c>
      <c r="M99" s="5">
        <f>IF(C24&lt;&gt;"", $C$3*$C$7*K24, "")</f>
        <v>1672.6499999999999</v>
      </c>
      <c r="N99" s="6">
        <f t="shared" ref="N99:N107" si="40">IF(C24&lt;&gt;"", M99/$C$10, "")</f>
        <v>170.50458715596329</v>
      </c>
      <c r="O99" s="5">
        <f t="shared" ref="O99:O107" si="41">IF(C24&lt;&gt;"", O86,"")</f>
        <v>3.5</v>
      </c>
      <c r="P99" s="6">
        <f t="shared" ref="P99:P107" si="42">IF(C24&lt;&gt;"", N99/O99, "")</f>
        <v>48.715596330275226</v>
      </c>
      <c r="Q99" s="160"/>
      <c r="R99" s="110">
        <v>0.33300000000000002</v>
      </c>
      <c r="S99" s="5">
        <f t="shared" ref="S99:S107" si="43">IF(C24&lt;&gt;"", R99^2, "")</f>
        <v>0.11088900000000002</v>
      </c>
      <c r="T99" s="128">
        <f t="shared" ref="T99:T107" si="44">IF(C24&lt;&gt;"", Q99^2, "")</f>
        <v>0</v>
      </c>
      <c r="U99" s="6">
        <f t="shared" ref="U99:U107" si="45">IF(C24&lt;&gt;"", N99*Q99, "")</f>
        <v>0</v>
      </c>
      <c r="V99" s="6">
        <f t="shared" ref="V99:V107" si="46">IF(C24&lt;&gt;"", N99*Q99^2, "")</f>
        <v>0</v>
      </c>
      <c r="W99" s="21"/>
    </row>
    <row r="100" spans="12:23" x14ac:dyDescent="0.25">
      <c r="L100" s="20">
        <v>2</v>
      </c>
      <c r="M100" s="5">
        <f t="shared" ref="M100:M107" si="47">IF(C25&lt;&gt;"", $C$3*$C$7*K25, "")</f>
        <v>1672.6499999999999</v>
      </c>
      <c r="N100" s="6">
        <f t="shared" si="40"/>
        <v>170.50458715596329</v>
      </c>
      <c r="O100" s="5">
        <f t="shared" si="41"/>
        <v>3.5</v>
      </c>
      <c r="P100" s="6">
        <f t="shared" si="42"/>
        <v>48.715596330275226</v>
      </c>
      <c r="Q100" s="160"/>
      <c r="R100" s="110">
        <v>0.66700000000000004</v>
      </c>
      <c r="S100" s="5">
        <f t="shared" si="43"/>
        <v>0.44488900000000003</v>
      </c>
      <c r="T100" s="128">
        <f t="shared" si="44"/>
        <v>0</v>
      </c>
      <c r="U100" s="6">
        <f t="shared" si="45"/>
        <v>0</v>
      </c>
      <c r="V100" s="6">
        <f t="shared" si="46"/>
        <v>0</v>
      </c>
      <c r="W100" s="21"/>
    </row>
    <row r="101" spans="12:23" x14ac:dyDescent="0.25">
      <c r="L101" s="20">
        <v>3</v>
      </c>
      <c r="M101" s="5">
        <f t="shared" si="47"/>
        <v>1404.27</v>
      </c>
      <c r="N101" s="6">
        <f t="shared" si="40"/>
        <v>143.14678899082568</v>
      </c>
      <c r="O101" s="5">
        <f t="shared" si="41"/>
        <v>1.75</v>
      </c>
      <c r="P101" s="6">
        <f t="shared" si="42"/>
        <v>81.798165137614674</v>
      </c>
      <c r="Q101" s="160"/>
      <c r="R101" s="110">
        <v>1</v>
      </c>
      <c r="S101" s="5">
        <f t="shared" si="43"/>
        <v>1</v>
      </c>
      <c r="T101" s="128">
        <f t="shared" si="44"/>
        <v>0</v>
      </c>
      <c r="U101" s="6">
        <f t="shared" si="45"/>
        <v>0</v>
      </c>
      <c r="V101" s="6">
        <f t="shared" si="46"/>
        <v>0</v>
      </c>
      <c r="W101" s="21"/>
    </row>
    <row r="102" spans="12:23" x14ac:dyDescent="0.25">
      <c r="L102" s="20">
        <v>4</v>
      </c>
      <c r="M102" s="5" t="str">
        <f t="shared" si="47"/>
        <v/>
      </c>
      <c r="N102" s="6" t="str">
        <f t="shared" si="40"/>
        <v/>
      </c>
      <c r="O102" s="5" t="str">
        <f t="shared" si="41"/>
        <v/>
      </c>
      <c r="P102" s="6" t="str">
        <f t="shared" si="42"/>
        <v/>
      </c>
      <c r="Q102" s="103"/>
      <c r="R102" s="110"/>
      <c r="S102" s="5" t="str">
        <f t="shared" si="43"/>
        <v/>
      </c>
      <c r="T102" s="128" t="str">
        <f t="shared" si="44"/>
        <v/>
      </c>
      <c r="U102" s="6" t="str">
        <f t="shared" si="45"/>
        <v/>
      </c>
      <c r="V102" s="6" t="str">
        <f t="shared" si="46"/>
        <v/>
      </c>
      <c r="W102" s="21"/>
    </row>
    <row r="103" spans="12:23" x14ac:dyDescent="0.25">
      <c r="L103" s="20">
        <v>5</v>
      </c>
      <c r="M103" s="5" t="str">
        <f t="shared" si="47"/>
        <v/>
      </c>
      <c r="N103" s="6" t="str">
        <f t="shared" si="40"/>
        <v/>
      </c>
      <c r="O103" s="5" t="str">
        <f t="shared" si="41"/>
        <v/>
      </c>
      <c r="P103" s="6" t="str">
        <f t="shared" si="42"/>
        <v/>
      </c>
      <c r="Q103" s="103"/>
      <c r="R103" s="110"/>
      <c r="S103" s="5" t="str">
        <f t="shared" si="43"/>
        <v/>
      </c>
      <c r="T103" s="128" t="str">
        <f t="shared" si="44"/>
        <v/>
      </c>
      <c r="U103" s="6" t="str">
        <f t="shared" si="45"/>
        <v/>
      </c>
      <c r="V103" s="6" t="str">
        <f t="shared" si="46"/>
        <v/>
      </c>
      <c r="W103" s="21"/>
    </row>
    <row r="104" spans="12:23" x14ac:dyDescent="0.25">
      <c r="L104" s="20">
        <v>6</v>
      </c>
      <c r="M104" s="5" t="str">
        <f t="shared" si="47"/>
        <v/>
      </c>
      <c r="N104" s="6" t="str">
        <f t="shared" si="40"/>
        <v/>
      </c>
      <c r="O104" s="5" t="str">
        <f t="shared" si="41"/>
        <v/>
      </c>
      <c r="P104" s="6" t="str">
        <f t="shared" si="42"/>
        <v/>
      </c>
      <c r="Q104" s="103"/>
      <c r="R104" s="110"/>
      <c r="S104" s="5" t="str">
        <f t="shared" si="43"/>
        <v/>
      </c>
      <c r="T104" s="128" t="str">
        <f t="shared" si="44"/>
        <v/>
      </c>
      <c r="U104" s="6" t="str">
        <f t="shared" si="45"/>
        <v/>
      </c>
      <c r="V104" s="6" t="str">
        <f t="shared" si="46"/>
        <v/>
      </c>
      <c r="W104" s="21"/>
    </row>
    <row r="105" spans="12:23" x14ac:dyDescent="0.25">
      <c r="L105" s="20">
        <v>7</v>
      </c>
      <c r="M105" s="5" t="str">
        <f t="shared" si="47"/>
        <v/>
      </c>
      <c r="N105" s="6" t="str">
        <f t="shared" si="40"/>
        <v/>
      </c>
      <c r="O105" s="5" t="str">
        <f t="shared" si="41"/>
        <v/>
      </c>
      <c r="P105" s="6" t="str">
        <f t="shared" si="42"/>
        <v/>
      </c>
      <c r="Q105" s="103"/>
      <c r="R105" s="103"/>
      <c r="S105" s="5" t="str">
        <f t="shared" si="43"/>
        <v/>
      </c>
      <c r="T105" s="128" t="str">
        <f t="shared" si="44"/>
        <v/>
      </c>
      <c r="U105" s="6" t="str">
        <f t="shared" si="45"/>
        <v/>
      </c>
      <c r="V105" s="6" t="str">
        <f t="shared" si="46"/>
        <v/>
      </c>
      <c r="W105" s="21"/>
    </row>
    <row r="106" spans="12:23" x14ac:dyDescent="0.25">
      <c r="L106" s="20">
        <v>8</v>
      </c>
      <c r="M106" s="5" t="str">
        <f t="shared" si="47"/>
        <v/>
      </c>
      <c r="N106" s="6" t="str">
        <f t="shared" si="40"/>
        <v/>
      </c>
      <c r="O106" s="5" t="str">
        <f t="shared" si="41"/>
        <v/>
      </c>
      <c r="P106" s="6" t="str">
        <f t="shared" si="42"/>
        <v/>
      </c>
      <c r="Q106" s="103"/>
      <c r="R106" s="103"/>
      <c r="S106" s="5" t="str">
        <f t="shared" si="43"/>
        <v/>
      </c>
      <c r="T106" s="128" t="str">
        <f t="shared" si="44"/>
        <v/>
      </c>
      <c r="U106" s="6" t="str">
        <f t="shared" si="45"/>
        <v/>
      </c>
      <c r="V106" s="6" t="str">
        <f t="shared" si="46"/>
        <v/>
      </c>
      <c r="W106" s="21"/>
    </row>
    <row r="107" spans="12:23" x14ac:dyDescent="0.25">
      <c r="L107" s="20">
        <v>9</v>
      </c>
      <c r="M107" s="5" t="str">
        <f t="shared" si="47"/>
        <v/>
      </c>
      <c r="N107" s="6" t="str">
        <f t="shared" si="40"/>
        <v/>
      </c>
      <c r="O107" s="5" t="str">
        <f t="shared" si="41"/>
        <v/>
      </c>
      <c r="P107" s="6" t="str">
        <f t="shared" si="42"/>
        <v/>
      </c>
      <c r="Q107" s="103"/>
      <c r="R107" s="103"/>
      <c r="S107" s="5" t="str">
        <f t="shared" si="43"/>
        <v/>
      </c>
      <c r="T107" s="128" t="str">
        <f t="shared" si="44"/>
        <v/>
      </c>
      <c r="U107" s="6" t="str">
        <f t="shared" si="45"/>
        <v/>
      </c>
      <c r="V107" s="6" t="str">
        <f t="shared" si="46"/>
        <v/>
      </c>
      <c r="W107" s="21"/>
    </row>
    <row r="108" spans="12:23" x14ac:dyDescent="0.25">
      <c r="L108" s="120"/>
      <c r="M108" s="117"/>
      <c r="N108" s="117"/>
      <c r="O108" s="117"/>
      <c r="P108" s="117"/>
      <c r="Q108" s="117"/>
      <c r="R108" s="117"/>
      <c r="S108" s="117"/>
      <c r="T108" s="117"/>
      <c r="U108" s="7">
        <f>SUM(U99:U107)</f>
        <v>0</v>
      </c>
      <c r="V108" s="7">
        <f>SUM(V99:V107)</f>
        <v>0</v>
      </c>
      <c r="W108" s="21"/>
    </row>
    <row r="109" spans="12:23" x14ac:dyDescent="0.25">
      <c r="L109" s="133"/>
      <c r="M109" s="124"/>
      <c r="N109" s="124"/>
      <c r="O109" s="124"/>
      <c r="P109" s="124" t="s">
        <v>218</v>
      </c>
      <c r="Q109" s="124"/>
      <c r="R109" s="124"/>
      <c r="W109" s="21"/>
    </row>
    <row r="110" spans="12:23" x14ac:dyDescent="0.25">
      <c r="L110" s="23" t="s">
        <v>3</v>
      </c>
      <c r="M110" s="105" t="s">
        <v>214</v>
      </c>
      <c r="N110" s="129" t="s">
        <v>212</v>
      </c>
      <c r="O110" s="129" t="s">
        <v>213</v>
      </c>
      <c r="P110" s="130" t="s">
        <v>219</v>
      </c>
      <c r="Q110" s="130" t="s">
        <v>220</v>
      </c>
      <c r="R110" s="130" t="s">
        <v>221</v>
      </c>
      <c r="W110" s="21"/>
    </row>
    <row r="111" spans="12:23" x14ac:dyDescent="0.25">
      <c r="L111" s="20">
        <v>1</v>
      </c>
      <c r="M111" s="5">
        <f t="shared" ref="M111:M119" si="48">IF(C24&lt;&gt;"", G24, "")</f>
        <v>3.5</v>
      </c>
      <c r="N111" s="5">
        <f>IF(C24&lt;&gt;"", M111-M111/2, "")</f>
        <v>1.75</v>
      </c>
      <c r="O111" s="5">
        <f>IF(C24&lt;&gt;"", IF(M112="", $R$39, IFERROR(M111+(M112-M111)/2, M111)), "")</f>
        <v>5.25</v>
      </c>
      <c r="P111" s="6">
        <f t="shared" ref="P111:P119" si="49">IF(C24&lt;&gt;"", $W$64*(O111-N111), "")</f>
        <v>1.210565256888404</v>
      </c>
      <c r="Q111" s="6">
        <f t="shared" ref="Q111:Q119" si="50">IF(C24&lt;&gt;"", IF(O111&lt;=$R$41,$W$63*(O111-N111),IF(N111&gt;=$R$41,$W$64*(O111-N111),$W$64*(O111-$R$41)+$W$63*($R$41-N111))), "")</f>
        <v>1.780806651801448</v>
      </c>
      <c r="W111" s="21"/>
    </row>
    <row r="112" spans="12:23" x14ac:dyDescent="0.25">
      <c r="L112" s="20">
        <v>2</v>
      </c>
      <c r="M112" s="5">
        <f t="shared" si="48"/>
        <v>7</v>
      </c>
      <c r="N112" s="5">
        <f>IF(C25&lt;&gt;"", M112-(M112-M111)/2, "")</f>
        <v>5.25</v>
      </c>
      <c r="O112" s="5">
        <f>IF(C25&lt;&gt;"", IF(M113="", $R$39, IFERROR(M112+(M113-M112)/2, M112)), "")</f>
        <v>8.75</v>
      </c>
      <c r="P112" s="6">
        <f t="shared" si="49"/>
        <v>1.210565256888404</v>
      </c>
      <c r="Q112" s="6">
        <f t="shared" si="50"/>
        <v>1.780806651801448</v>
      </c>
      <c r="W112" s="21"/>
    </row>
    <row r="113" spans="12:23" x14ac:dyDescent="0.25">
      <c r="L113" s="20">
        <v>3</v>
      </c>
      <c r="M113" s="5">
        <f t="shared" si="48"/>
        <v>10.5</v>
      </c>
      <c r="N113" s="5">
        <f t="shared" ref="N113:N119" si="51">IF(C26&lt;&gt;"", M113-(M113-M112)/2, "")</f>
        <v>8.75</v>
      </c>
      <c r="O113" s="5">
        <f t="shared" ref="O113:O119" si="52">IF(C26&lt;&gt;"", IF(M114="", $R$39, IFERROR(M113+(M114-M113)/2, M113)), "")</f>
        <v>10.5</v>
      </c>
      <c r="P113" s="6">
        <f t="shared" si="49"/>
        <v>0.605282628444202</v>
      </c>
      <c r="Q113" s="6">
        <f t="shared" si="50"/>
        <v>0.89040332590072402</v>
      </c>
      <c r="W113" s="21"/>
    </row>
    <row r="114" spans="12:23" x14ac:dyDescent="0.25">
      <c r="L114" s="20">
        <v>4</v>
      </c>
      <c r="M114" s="5" t="str">
        <f t="shared" si="48"/>
        <v/>
      </c>
      <c r="N114" s="5" t="str">
        <f t="shared" si="51"/>
        <v/>
      </c>
      <c r="O114" s="5" t="str">
        <f t="shared" si="52"/>
        <v/>
      </c>
      <c r="P114" s="6" t="str">
        <f t="shared" si="49"/>
        <v/>
      </c>
      <c r="Q114" s="6" t="str">
        <f t="shared" si="50"/>
        <v/>
      </c>
      <c r="W114" s="21"/>
    </row>
    <row r="115" spans="12:23" x14ac:dyDescent="0.25">
      <c r="L115" s="20">
        <v>5</v>
      </c>
      <c r="M115" s="5" t="str">
        <f t="shared" si="48"/>
        <v/>
      </c>
      <c r="N115" s="5" t="str">
        <f t="shared" si="51"/>
        <v/>
      </c>
      <c r="O115" s="5" t="str">
        <f t="shared" si="52"/>
        <v/>
      </c>
      <c r="P115" s="6" t="str">
        <f t="shared" si="49"/>
        <v/>
      </c>
      <c r="Q115" s="6" t="str">
        <f t="shared" si="50"/>
        <v/>
      </c>
      <c r="W115" s="21"/>
    </row>
    <row r="116" spans="12:23" x14ac:dyDescent="0.25">
      <c r="L116" s="20">
        <v>6</v>
      </c>
      <c r="M116" s="5" t="str">
        <f t="shared" si="48"/>
        <v/>
      </c>
      <c r="N116" s="5" t="str">
        <f t="shared" si="51"/>
        <v/>
      </c>
      <c r="O116" s="5" t="str">
        <f t="shared" si="52"/>
        <v/>
      </c>
      <c r="P116" s="6" t="str">
        <f t="shared" si="49"/>
        <v/>
      </c>
      <c r="Q116" s="6" t="str">
        <f t="shared" si="50"/>
        <v/>
      </c>
      <c r="W116" s="21"/>
    </row>
    <row r="117" spans="12:23" x14ac:dyDescent="0.25">
      <c r="L117" s="20">
        <v>7</v>
      </c>
      <c r="M117" s="5" t="str">
        <f t="shared" si="48"/>
        <v/>
      </c>
      <c r="N117" s="5" t="str">
        <f t="shared" si="51"/>
        <v/>
      </c>
      <c r="O117" s="5" t="str">
        <f t="shared" si="52"/>
        <v/>
      </c>
      <c r="P117" s="6" t="str">
        <f t="shared" si="49"/>
        <v/>
      </c>
      <c r="Q117" s="6" t="str">
        <f t="shared" si="50"/>
        <v/>
      </c>
      <c r="W117" s="21"/>
    </row>
    <row r="118" spans="12:23" x14ac:dyDescent="0.25">
      <c r="L118" s="20">
        <v>8</v>
      </c>
      <c r="M118" s="5" t="str">
        <f t="shared" si="48"/>
        <v/>
      </c>
      <c r="N118" s="5" t="str">
        <f t="shared" si="51"/>
        <v/>
      </c>
      <c r="O118" s="5" t="str">
        <f t="shared" si="52"/>
        <v/>
      </c>
      <c r="P118" s="6" t="str">
        <f t="shared" si="49"/>
        <v/>
      </c>
      <c r="Q118" s="6" t="str">
        <f t="shared" si="50"/>
        <v/>
      </c>
      <c r="W118" s="21"/>
    </row>
    <row r="119" spans="12:23" x14ac:dyDescent="0.25">
      <c r="L119" s="20">
        <v>9</v>
      </c>
      <c r="M119" s="5" t="str">
        <f t="shared" si="48"/>
        <v/>
      </c>
      <c r="N119" s="5" t="str">
        <f t="shared" si="51"/>
        <v/>
      </c>
      <c r="O119" s="5" t="str">
        <f t="shared" si="52"/>
        <v/>
      </c>
      <c r="P119" s="6" t="str">
        <f t="shared" si="49"/>
        <v/>
      </c>
      <c r="Q119" s="6" t="str">
        <f t="shared" si="50"/>
        <v/>
      </c>
      <c r="W119" s="21"/>
    </row>
    <row r="120" spans="12:23" x14ac:dyDescent="0.25">
      <c r="L120" s="120"/>
      <c r="M120" s="117"/>
      <c r="N120" s="117"/>
      <c r="O120" s="117"/>
      <c r="P120" s="117"/>
      <c r="Q120" s="117"/>
      <c r="R120" s="117"/>
      <c r="W120" s="21"/>
    </row>
    <row r="121" spans="12:23" x14ac:dyDescent="0.25">
      <c r="L121" s="20"/>
      <c r="W121" s="21"/>
    </row>
    <row r="122" spans="12:23" x14ac:dyDescent="0.25">
      <c r="L122" s="173" t="s">
        <v>215</v>
      </c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5"/>
    </row>
    <row r="123" spans="12:23" x14ac:dyDescent="0.25">
      <c r="L123" s="20"/>
      <c r="M123" s="172" t="s">
        <v>93</v>
      </c>
      <c r="N123" s="172"/>
      <c r="Q123" s="172" t="s">
        <v>94</v>
      </c>
      <c r="R123" s="172"/>
      <c r="U123" s="172" t="s">
        <v>223</v>
      </c>
      <c r="V123" s="172"/>
      <c r="W123" s="21"/>
    </row>
    <row r="124" spans="12:23" x14ac:dyDescent="0.25">
      <c r="L124" s="23" t="s">
        <v>3</v>
      </c>
      <c r="M124" s="94" t="s">
        <v>162</v>
      </c>
      <c r="N124" s="94" t="s">
        <v>163</v>
      </c>
      <c r="Q124" s="94" t="s">
        <v>162</v>
      </c>
      <c r="R124" s="94" t="s">
        <v>163</v>
      </c>
      <c r="U124" s="94" t="s">
        <v>162</v>
      </c>
      <c r="V124" s="94" t="s">
        <v>163</v>
      </c>
      <c r="W124" s="21"/>
    </row>
    <row r="125" spans="12:23" x14ac:dyDescent="0.25">
      <c r="L125" s="20">
        <v>1</v>
      </c>
      <c r="M125" s="9">
        <f>IF(C24&lt;&gt;"", $M$52*$C$7*IF($R$39&lt;$R$41, P111, IF($R$39&lt;2*$R$41, Q111, R111)), "")</f>
        <v>7.2633915413304244</v>
      </c>
      <c r="N125" s="9">
        <f>IF(C24&lt;&gt;"", Loads!$M$52*$W$68*(Loads!O111-Loads!N111)*Loads!$C$7, "")</f>
        <v>-3.6314481606719848</v>
      </c>
      <c r="O125" s="6">
        <f>IF(C24&lt;&gt;"", M125+(-1*N125), "")</f>
        <v>10.894839702002409</v>
      </c>
      <c r="Q125" s="9">
        <f t="shared" ref="Q125:Q133" si="53">IF(C24&lt;&gt;"", $N$52*$C$7*IF($R$39&lt;$R$41, P111, IF($R$39&lt;2*$R$41, Q111, R111)), "")</f>
        <v>7.2633915413304244</v>
      </c>
      <c r="R125" s="9">
        <f>IF(C24&lt;&gt;"", Loads!$M$52*$W$68*(Loads!O111-Loads!N111)*Loads!$C$7, "")</f>
        <v>-3.6314481606719848</v>
      </c>
      <c r="S125" s="6">
        <f>IF(C24&lt;&gt;"", Q125+(-1*R125), "")</f>
        <v>10.894839702002409</v>
      </c>
      <c r="U125" s="9">
        <f t="shared" ref="U125:U133" si="54">IF(C24&lt;&gt;"", $O$52*$C$7*IF($R$39&lt;$R$41, P111, IF($R$39&lt;2*$R$41, Q111, R111)), "")</f>
        <v>7.2633915413304244</v>
      </c>
      <c r="V125" s="9">
        <f>IF(C24&lt;&gt;"", Loads!$O$52*$W$68*(Loads!O111-Loads!N111)*Loads!$C$7, "")</f>
        <v>-3.6314481606719848</v>
      </c>
      <c r="W125" s="59">
        <f>IF(C24&lt;&gt;"", U125+(-1*V125), "")</f>
        <v>10.894839702002409</v>
      </c>
    </row>
    <row r="126" spans="12:23" x14ac:dyDescent="0.25">
      <c r="L126" s="20">
        <v>2</v>
      </c>
      <c r="M126" s="9">
        <f t="shared" ref="M126:M133" si="55">IF(C25&lt;&gt;"", $M$52*$C$7*IF($R$39&lt;$R$41, P112, IF($R$39&lt;2*$R$41, Q112, R112)), "")</f>
        <v>7.2633915413304244</v>
      </c>
      <c r="N126" s="9">
        <f>IF(C25&lt;&gt;"", Loads!$M$52*$W$68*(Loads!O112-Loads!N112)*Loads!$C$7, "")</f>
        <v>-3.6314481606719848</v>
      </c>
      <c r="O126" s="6">
        <f t="shared" ref="O126:O133" si="56">IF(C25&lt;&gt;"", M126+(-1*N126), "")</f>
        <v>10.894839702002409</v>
      </c>
      <c r="Q126" s="9">
        <f t="shared" si="53"/>
        <v>7.2633915413304244</v>
      </c>
      <c r="R126" s="9">
        <f>IF(C25&lt;&gt;"", Loads!$M$52*$W$68*(Loads!O112-Loads!N112)*Loads!$C$7, "")</f>
        <v>-3.6314481606719848</v>
      </c>
      <c r="S126" s="6">
        <f t="shared" ref="S126:S133" si="57">IF(C25&lt;&gt;"", Q126+(-1*R126), "")</f>
        <v>10.894839702002409</v>
      </c>
      <c r="U126" s="9">
        <f t="shared" si="54"/>
        <v>7.2633915413304244</v>
      </c>
      <c r="V126" s="9">
        <f>IF(C25&lt;&gt;"", Loads!$O$52*$W$68*(Loads!O112-Loads!N112)*Loads!$C$7, "")</f>
        <v>-3.6314481606719848</v>
      </c>
      <c r="W126" s="59">
        <f t="shared" ref="W126:W133" si="58">IF(C25&lt;&gt;"", U126+(-1*V126), "")</f>
        <v>10.894839702002409</v>
      </c>
    </row>
    <row r="127" spans="12:23" x14ac:dyDescent="0.25">
      <c r="L127" s="20">
        <v>3</v>
      </c>
      <c r="M127" s="9">
        <f t="shared" si="55"/>
        <v>3.6316957706652122</v>
      </c>
      <c r="N127" s="9">
        <f>IF(C26&lt;&gt;"", Loads!$M$52*$W$68*(Loads!O113-Loads!N113)*Loads!$C$7, "")</f>
        <v>-1.8157240803359924</v>
      </c>
      <c r="O127" s="6">
        <f t="shared" si="56"/>
        <v>5.4474198510012046</v>
      </c>
      <c r="Q127" s="9">
        <f t="shared" si="53"/>
        <v>3.6316957706652122</v>
      </c>
      <c r="R127" s="9">
        <f>IF(C26&lt;&gt;"", Loads!$M$52*$W$68*(Loads!O113-Loads!N113)*Loads!$C$7, "")</f>
        <v>-1.8157240803359924</v>
      </c>
      <c r="S127" s="6">
        <f t="shared" si="57"/>
        <v>5.4474198510012046</v>
      </c>
      <c r="U127" s="9">
        <f t="shared" si="54"/>
        <v>3.6316957706652122</v>
      </c>
      <c r="V127" s="9">
        <f>IF(C26&lt;&gt;"", Loads!$O$52*$W$68*(Loads!O113-Loads!N113)*Loads!$C$7, "")</f>
        <v>-1.8157240803359924</v>
      </c>
      <c r="W127" s="59">
        <f t="shared" si="58"/>
        <v>5.4474198510012046</v>
      </c>
    </row>
    <row r="128" spans="12:23" x14ac:dyDescent="0.25">
      <c r="L128" s="20">
        <v>4</v>
      </c>
      <c r="M128" s="9" t="str">
        <f t="shared" si="55"/>
        <v/>
      </c>
      <c r="N128" s="9" t="str">
        <f>IF(C27&lt;&gt;"", Loads!$M$52*$W$68*(Loads!O114-Loads!N114)*Loads!$C$7, "")</f>
        <v/>
      </c>
      <c r="O128" s="6" t="str">
        <f t="shared" si="56"/>
        <v/>
      </c>
      <c r="Q128" s="9" t="str">
        <f t="shared" si="53"/>
        <v/>
      </c>
      <c r="R128" s="9" t="str">
        <f>IF(C27&lt;&gt;"", Loads!$M$52*$W$68*(Loads!O114-Loads!N114)*Loads!$C$7, "")</f>
        <v/>
      </c>
      <c r="S128" s="6" t="str">
        <f t="shared" si="57"/>
        <v/>
      </c>
      <c r="U128" s="9" t="str">
        <f t="shared" si="54"/>
        <v/>
      </c>
      <c r="V128" s="9" t="str">
        <f>IF(C27&lt;&gt;"", Loads!$O$52*$W$68*(Loads!O114-Loads!N114)*Loads!$C$7, "")</f>
        <v/>
      </c>
      <c r="W128" s="59" t="str">
        <f t="shared" si="58"/>
        <v/>
      </c>
    </row>
    <row r="129" spans="12:23" x14ac:dyDescent="0.25">
      <c r="L129" s="20">
        <v>5</v>
      </c>
      <c r="M129" s="9" t="str">
        <f t="shared" si="55"/>
        <v/>
      </c>
      <c r="N129" s="9" t="str">
        <f>IF(C28&lt;&gt;"", Loads!$M$52*$W$68*(Loads!O115-Loads!N115)*Loads!$C$7, "")</f>
        <v/>
      </c>
      <c r="O129" s="6" t="str">
        <f t="shared" si="56"/>
        <v/>
      </c>
      <c r="Q129" s="9" t="str">
        <f t="shared" si="53"/>
        <v/>
      </c>
      <c r="R129" s="9" t="str">
        <f>IF(C28&lt;&gt;"", Loads!$M$52*$W$68*(Loads!O115-Loads!N115)*Loads!$C$7, "")</f>
        <v/>
      </c>
      <c r="S129" s="6" t="str">
        <f t="shared" si="57"/>
        <v/>
      </c>
      <c r="U129" s="9" t="str">
        <f t="shared" si="54"/>
        <v/>
      </c>
      <c r="V129" s="9" t="str">
        <f>IF(C28&lt;&gt;"", Loads!$O$52*$W$68*(Loads!O115-Loads!N115)*Loads!$C$7, "")</f>
        <v/>
      </c>
      <c r="W129" s="59" t="str">
        <f t="shared" si="58"/>
        <v/>
      </c>
    </row>
    <row r="130" spans="12:23" x14ac:dyDescent="0.25">
      <c r="L130" s="20">
        <v>6</v>
      </c>
      <c r="M130" s="9" t="str">
        <f t="shared" si="55"/>
        <v/>
      </c>
      <c r="N130" s="9" t="str">
        <f>IF(C29&lt;&gt;"", Loads!$M$52*$W$68*(Loads!O116-Loads!N116)*Loads!$C$7, "")</f>
        <v/>
      </c>
      <c r="O130" s="6" t="str">
        <f t="shared" si="56"/>
        <v/>
      </c>
      <c r="Q130" s="9" t="str">
        <f t="shared" si="53"/>
        <v/>
      </c>
      <c r="R130" s="9" t="str">
        <f>IF(C29&lt;&gt;"", Loads!$M$52*$W$68*(Loads!O116-Loads!N116)*Loads!$C$7, "")</f>
        <v/>
      </c>
      <c r="S130" s="6" t="str">
        <f t="shared" si="57"/>
        <v/>
      </c>
      <c r="U130" s="9" t="str">
        <f t="shared" si="54"/>
        <v/>
      </c>
      <c r="V130" s="9" t="str">
        <f>IF(C29&lt;&gt;"", Loads!$O$52*$W$68*(Loads!O116-Loads!N116)*Loads!$C$7, "")</f>
        <v/>
      </c>
      <c r="W130" s="59" t="str">
        <f t="shared" si="58"/>
        <v/>
      </c>
    </row>
    <row r="131" spans="12:23" x14ac:dyDescent="0.25">
      <c r="L131" s="20">
        <v>7</v>
      </c>
      <c r="M131" s="9" t="str">
        <f t="shared" si="55"/>
        <v/>
      </c>
      <c r="N131" s="9" t="str">
        <f>IF(C30&lt;&gt;"", Loads!$M$52*$W$68*(Loads!O117-Loads!N117)*Loads!$C$7, "")</f>
        <v/>
      </c>
      <c r="O131" s="6" t="str">
        <f t="shared" si="56"/>
        <v/>
      </c>
      <c r="Q131" s="9" t="str">
        <f t="shared" si="53"/>
        <v/>
      </c>
      <c r="R131" s="9" t="str">
        <f>IF(C30&lt;&gt;"", Loads!$M$52*$W$68*(Loads!O117-Loads!N117)*Loads!$C$7, "")</f>
        <v/>
      </c>
      <c r="S131" s="6" t="str">
        <f t="shared" si="57"/>
        <v/>
      </c>
      <c r="U131" s="9" t="str">
        <f t="shared" si="54"/>
        <v/>
      </c>
      <c r="V131" s="9" t="str">
        <f>IF(C30&lt;&gt;"", Loads!$O$52*$W$68*(Loads!O117-Loads!N117)*Loads!$C$7, "")</f>
        <v/>
      </c>
      <c r="W131" s="59" t="str">
        <f t="shared" si="58"/>
        <v/>
      </c>
    </row>
    <row r="132" spans="12:23" x14ac:dyDescent="0.25">
      <c r="L132" s="20">
        <v>8</v>
      </c>
      <c r="M132" s="9" t="str">
        <f t="shared" si="55"/>
        <v/>
      </c>
      <c r="N132" s="9" t="str">
        <f>IF(C31&lt;&gt;"", Loads!$M$52*$W$68*(Loads!O118-Loads!N118)*Loads!$C$7, "")</f>
        <v/>
      </c>
      <c r="O132" s="6" t="str">
        <f t="shared" si="56"/>
        <v/>
      </c>
      <c r="Q132" s="9" t="str">
        <f t="shared" si="53"/>
        <v/>
      </c>
      <c r="R132" s="9" t="str">
        <f>IF(C31&lt;&gt;"", Loads!$M$52*$W$68*(Loads!O118-Loads!N118)*Loads!$C$7, "")</f>
        <v/>
      </c>
      <c r="S132" s="6" t="str">
        <f t="shared" si="57"/>
        <v/>
      </c>
      <c r="U132" s="9" t="str">
        <f t="shared" si="54"/>
        <v/>
      </c>
      <c r="V132" s="9" t="str">
        <f>IF(C31&lt;&gt;"", Loads!$O$52*$W$68*(Loads!O118-Loads!N118)*Loads!$C$7, "")</f>
        <v/>
      </c>
      <c r="W132" s="59" t="str">
        <f t="shared" si="58"/>
        <v/>
      </c>
    </row>
    <row r="133" spans="12:23" x14ac:dyDescent="0.25">
      <c r="L133" s="20">
        <v>9</v>
      </c>
      <c r="M133" s="9" t="str">
        <f t="shared" si="55"/>
        <v/>
      </c>
      <c r="N133" s="9" t="str">
        <f>IF(C32&lt;&gt;"", Loads!$M$52*$W$68*(Loads!O119-Loads!N119)*Loads!$C$7, "")</f>
        <v/>
      </c>
      <c r="O133" s="6" t="str">
        <f t="shared" si="56"/>
        <v/>
      </c>
      <c r="Q133" s="9" t="str">
        <f t="shared" si="53"/>
        <v/>
      </c>
      <c r="R133" s="9" t="str">
        <f>IF(C32&lt;&gt;"", Loads!$M$52*$W$68*(Loads!O119-Loads!N119)*Loads!$C$7, "")</f>
        <v/>
      </c>
      <c r="S133" s="6" t="str">
        <f t="shared" si="57"/>
        <v/>
      </c>
      <c r="U133" s="9" t="str">
        <f t="shared" si="54"/>
        <v/>
      </c>
      <c r="V133" s="9" t="str">
        <f>IF(C32&lt;&gt;"", Loads!$O$52*$W$68*(Loads!O119-Loads!N119)*Loads!$C$7, "")</f>
        <v/>
      </c>
      <c r="W133" s="59" t="str">
        <f t="shared" si="58"/>
        <v/>
      </c>
    </row>
    <row r="134" spans="12:23" ht="15.75" thickBot="1" x14ac:dyDescent="0.3">
      <c r="L134" s="122" t="s">
        <v>97</v>
      </c>
      <c r="M134" s="95">
        <f>SUM(M125:M133)</f>
        <v>18.158478853326059</v>
      </c>
      <c r="N134" s="95">
        <f>SUM(N125:N133)</f>
        <v>-9.078620401679963</v>
      </c>
      <c r="O134" s="131">
        <f>M134+(-1*N134)</f>
        <v>27.237099255006022</v>
      </c>
      <c r="Q134" s="95">
        <f>SUM(Q125:Q133)</f>
        <v>18.158478853326059</v>
      </c>
      <c r="R134" s="95">
        <f>SUM(R125:R133)</f>
        <v>-9.078620401679963</v>
      </c>
      <c r="S134" s="131">
        <f>Q134+(-1*R134)</f>
        <v>27.237099255006022</v>
      </c>
      <c r="U134" s="95">
        <f>SUM(U125:U133)</f>
        <v>18.158478853326059</v>
      </c>
      <c r="V134" s="95">
        <f>SUM(V125:V133)</f>
        <v>-9.078620401679963</v>
      </c>
      <c r="W134" s="132">
        <f>U134+(-1*V134)</f>
        <v>27.237099255006022</v>
      </c>
    </row>
    <row r="135" spans="12:23" x14ac:dyDescent="0.25">
      <c r="L135" s="20"/>
      <c r="W135" s="21"/>
    </row>
    <row r="136" spans="12:23" x14ac:dyDescent="0.25">
      <c r="L136" s="173" t="s">
        <v>164</v>
      </c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5"/>
    </row>
    <row r="137" spans="12:23" x14ac:dyDescent="0.25">
      <c r="L137" s="20"/>
      <c r="M137" s="172" t="s">
        <v>93</v>
      </c>
      <c r="N137" s="172"/>
      <c r="Q137" s="172" t="s">
        <v>94</v>
      </c>
      <c r="R137" s="172"/>
      <c r="U137" s="172" t="s">
        <v>223</v>
      </c>
      <c r="V137" s="172"/>
      <c r="W137" s="21"/>
    </row>
    <row r="138" spans="12:23" x14ac:dyDescent="0.25">
      <c r="L138" s="23" t="s">
        <v>3</v>
      </c>
      <c r="M138" s="94" t="s">
        <v>162</v>
      </c>
      <c r="N138" s="94" t="s">
        <v>163</v>
      </c>
      <c r="Q138" s="94" t="s">
        <v>162</v>
      </c>
      <c r="R138" s="94" t="s">
        <v>163</v>
      </c>
      <c r="U138" s="94" t="s">
        <v>162</v>
      </c>
      <c r="V138" s="94" t="s">
        <v>163</v>
      </c>
      <c r="W138" s="21"/>
    </row>
    <row r="139" spans="12:23" x14ac:dyDescent="0.25">
      <c r="L139" s="20">
        <v>1</v>
      </c>
      <c r="M139" s="9">
        <f>IF(C24&lt;&gt;"", M125*$E$14*$E$15, "")</f>
        <v>6.5370523871973818</v>
      </c>
      <c r="N139" s="9">
        <f t="shared" ref="N139:N147" si="59">IF(C24&lt;&gt;"", N125*$E$14*$E$15, "")</f>
        <v>-3.2683033446047864</v>
      </c>
      <c r="O139" s="6">
        <f>IF(C24&lt;&gt;"", M139+(-1*N139), "")</f>
        <v>9.8053557318021678</v>
      </c>
      <c r="Q139" s="9">
        <f t="shared" ref="Q139:Q147" si="60">IF(C24&lt;&gt;"", Q125*$E$14, "")</f>
        <v>10.895087311995637</v>
      </c>
      <c r="R139" s="9">
        <f t="shared" ref="R139:R147" si="61">IF(C24&lt;&gt;"", R125*$E$14, "")</f>
        <v>-5.4471722410079773</v>
      </c>
      <c r="S139" s="6">
        <f>IF(C24&lt;&gt;"", Q139+(-1*R139), "")</f>
        <v>16.342259553003615</v>
      </c>
      <c r="U139" s="9">
        <f t="shared" ref="U139:U147" si="62">IF(C24&lt;&gt;"", U125*$E$14*$E$15, "")</f>
        <v>6.5370523871973818</v>
      </c>
      <c r="V139" s="9">
        <f t="shared" ref="V139:V147" si="63">IF(C24&lt;&gt;"", V125*$E$14*$E$15, "")</f>
        <v>-3.2683033446047864</v>
      </c>
      <c r="W139" s="59">
        <f>IF(C24&lt;&gt;"", U139+(-1*V139), "")</f>
        <v>9.8053557318021678</v>
      </c>
    </row>
    <row r="140" spans="12:23" x14ac:dyDescent="0.25">
      <c r="L140" s="20">
        <v>2</v>
      </c>
      <c r="M140" s="9">
        <f t="shared" ref="M140:M147" si="64">IF(C25&lt;&gt;"", M126*$E$14*$E$15, "")</f>
        <v>6.5370523871973818</v>
      </c>
      <c r="N140" s="9">
        <f t="shared" si="59"/>
        <v>-3.2683033446047864</v>
      </c>
      <c r="O140" s="6">
        <f t="shared" ref="O140:O147" si="65">IF(C25&lt;&gt;"", M140+(-1*N140), "")</f>
        <v>9.8053557318021678</v>
      </c>
      <c r="Q140" s="9">
        <f t="shared" si="60"/>
        <v>10.895087311995637</v>
      </c>
      <c r="R140" s="9">
        <f t="shared" si="61"/>
        <v>-5.4471722410079773</v>
      </c>
      <c r="S140" s="6">
        <f t="shared" ref="S140:S147" si="66">IF(C25&lt;&gt;"", Q140+(-1*R140), "")</f>
        <v>16.342259553003615</v>
      </c>
      <c r="U140" s="9">
        <f t="shared" si="62"/>
        <v>6.5370523871973818</v>
      </c>
      <c r="V140" s="9">
        <f t="shared" si="63"/>
        <v>-3.2683033446047864</v>
      </c>
      <c r="W140" s="59">
        <f t="shared" ref="W140:W147" si="67">IF(C25&lt;&gt;"", U140+(-1*V140), "")</f>
        <v>9.8053557318021678</v>
      </c>
    </row>
    <row r="141" spans="12:23" x14ac:dyDescent="0.25">
      <c r="L141" s="20">
        <v>3</v>
      </c>
      <c r="M141" s="9">
        <f t="shared" si="64"/>
        <v>3.2685261935986909</v>
      </c>
      <c r="N141" s="9">
        <f t="shared" si="59"/>
        <v>-1.6341516723023932</v>
      </c>
      <c r="O141" s="6">
        <f t="shared" si="65"/>
        <v>4.9026778659010839</v>
      </c>
      <c r="Q141" s="9">
        <f t="shared" si="60"/>
        <v>5.4475436559978183</v>
      </c>
      <c r="R141" s="9">
        <f t="shared" si="61"/>
        <v>-2.7235861205039886</v>
      </c>
      <c r="S141" s="6">
        <f t="shared" si="66"/>
        <v>8.1711297765018074</v>
      </c>
      <c r="U141" s="9">
        <f t="shared" si="62"/>
        <v>3.2685261935986909</v>
      </c>
      <c r="V141" s="9">
        <f t="shared" si="63"/>
        <v>-1.6341516723023932</v>
      </c>
      <c r="W141" s="59">
        <f t="shared" si="67"/>
        <v>4.9026778659010839</v>
      </c>
    </row>
    <row r="142" spans="12:23" x14ac:dyDescent="0.25">
      <c r="L142" s="20">
        <v>4</v>
      </c>
      <c r="M142" s="9" t="str">
        <f t="shared" si="64"/>
        <v/>
      </c>
      <c r="N142" s="9" t="str">
        <f t="shared" si="59"/>
        <v/>
      </c>
      <c r="O142" s="6" t="str">
        <f t="shared" si="65"/>
        <v/>
      </c>
      <c r="Q142" s="9" t="str">
        <f t="shared" si="60"/>
        <v/>
      </c>
      <c r="R142" s="9" t="str">
        <f t="shared" si="61"/>
        <v/>
      </c>
      <c r="S142" s="6" t="str">
        <f t="shared" si="66"/>
        <v/>
      </c>
      <c r="U142" s="9" t="str">
        <f t="shared" si="62"/>
        <v/>
      </c>
      <c r="V142" s="9" t="str">
        <f t="shared" si="63"/>
        <v/>
      </c>
      <c r="W142" s="59" t="str">
        <f t="shared" si="67"/>
        <v/>
      </c>
    </row>
    <row r="143" spans="12:23" x14ac:dyDescent="0.25">
      <c r="L143" s="20">
        <v>5</v>
      </c>
      <c r="M143" s="9" t="str">
        <f t="shared" si="64"/>
        <v/>
      </c>
      <c r="N143" s="9" t="str">
        <f t="shared" si="59"/>
        <v/>
      </c>
      <c r="O143" s="6" t="str">
        <f t="shared" si="65"/>
        <v/>
      </c>
      <c r="Q143" s="9" t="str">
        <f t="shared" si="60"/>
        <v/>
      </c>
      <c r="R143" s="9" t="str">
        <f t="shared" si="61"/>
        <v/>
      </c>
      <c r="S143" s="6" t="str">
        <f t="shared" si="66"/>
        <v/>
      </c>
      <c r="U143" s="9" t="str">
        <f t="shared" si="62"/>
        <v/>
      </c>
      <c r="V143" s="9" t="str">
        <f t="shared" si="63"/>
        <v/>
      </c>
      <c r="W143" s="59" t="str">
        <f t="shared" si="67"/>
        <v/>
      </c>
    </row>
    <row r="144" spans="12:23" x14ac:dyDescent="0.25">
      <c r="L144" s="20">
        <v>6</v>
      </c>
      <c r="M144" s="9" t="str">
        <f t="shared" si="64"/>
        <v/>
      </c>
      <c r="N144" s="9" t="str">
        <f t="shared" si="59"/>
        <v/>
      </c>
      <c r="O144" s="6" t="str">
        <f t="shared" si="65"/>
        <v/>
      </c>
      <c r="Q144" s="9" t="str">
        <f t="shared" si="60"/>
        <v/>
      </c>
      <c r="R144" s="9" t="str">
        <f t="shared" si="61"/>
        <v/>
      </c>
      <c r="S144" s="6" t="str">
        <f t="shared" si="66"/>
        <v/>
      </c>
      <c r="U144" s="9" t="str">
        <f t="shared" si="62"/>
        <v/>
      </c>
      <c r="V144" s="9" t="str">
        <f t="shared" si="63"/>
        <v/>
      </c>
      <c r="W144" s="59" t="str">
        <f t="shared" si="67"/>
        <v/>
      </c>
    </row>
    <row r="145" spans="12:23" x14ac:dyDescent="0.25">
      <c r="L145" s="20">
        <v>7</v>
      </c>
      <c r="M145" s="9" t="str">
        <f t="shared" si="64"/>
        <v/>
      </c>
      <c r="N145" s="9" t="str">
        <f t="shared" si="59"/>
        <v/>
      </c>
      <c r="O145" s="6" t="str">
        <f t="shared" si="65"/>
        <v/>
      </c>
      <c r="Q145" s="9" t="str">
        <f t="shared" si="60"/>
        <v/>
      </c>
      <c r="R145" s="9" t="str">
        <f t="shared" si="61"/>
        <v/>
      </c>
      <c r="S145" s="6" t="str">
        <f t="shared" si="66"/>
        <v/>
      </c>
      <c r="U145" s="9" t="str">
        <f t="shared" si="62"/>
        <v/>
      </c>
      <c r="V145" s="9" t="str">
        <f t="shared" si="63"/>
        <v/>
      </c>
      <c r="W145" s="59" t="str">
        <f t="shared" si="67"/>
        <v/>
      </c>
    </row>
    <row r="146" spans="12:23" x14ac:dyDescent="0.25">
      <c r="L146" s="20">
        <v>8</v>
      </c>
      <c r="M146" s="9" t="str">
        <f t="shared" si="64"/>
        <v/>
      </c>
      <c r="N146" s="9" t="str">
        <f t="shared" si="59"/>
        <v/>
      </c>
      <c r="O146" s="6" t="str">
        <f t="shared" si="65"/>
        <v/>
      </c>
      <c r="Q146" s="9" t="str">
        <f t="shared" si="60"/>
        <v/>
      </c>
      <c r="R146" s="9" t="str">
        <f t="shared" si="61"/>
        <v/>
      </c>
      <c r="S146" s="6" t="str">
        <f t="shared" si="66"/>
        <v/>
      </c>
      <c r="U146" s="9" t="str">
        <f t="shared" si="62"/>
        <v/>
      </c>
      <c r="V146" s="9" t="str">
        <f t="shared" si="63"/>
        <v/>
      </c>
      <c r="W146" s="59" t="str">
        <f t="shared" si="67"/>
        <v/>
      </c>
    </row>
    <row r="147" spans="12:23" x14ac:dyDescent="0.25">
      <c r="L147" s="20">
        <v>9</v>
      </c>
      <c r="M147" s="9" t="str">
        <f t="shared" si="64"/>
        <v/>
      </c>
      <c r="N147" s="9" t="str">
        <f t="shared" si="59"/>
        <v/>
      </c>
      <c r="O147" s="6" t="str">
        <f t="shared" si="65"/>
        <v/>
      </c>
      <c r="Q147" s="9" t="str">
        <f t="shared" si="60"/>
        <v/>
      </c>
      <c r="R147" s="9" t="str">
        <f t="shared" si="61"/>
        <v/>
      </c>
      <c r="S147" s="6" t="str">
        <f t="shared" si="66"/>
        <v/>
      </c>
      <c r="U147" s="9" t="str">
        <f t="shared" si="62"/>
        <v/>
      </c>
      <c r="V147" s="9" t="str">
        <f t="shared" si="63"/>
        <v/>
      </c>
      <c r="W147" s="59" t="str">
        <f t="shared" si="67"/>
        <v/>
      </c>
    </row>
    <row r="148" spans="12:23" ht="15.75" thickBot="1" x14ac:dyDescent="0.3">
      <c r="L148" s="123" t="s">
        <v>97</v>
      </c>
      <c r="M148" s="95">
        <f>SUM(M139:M147)</f>
        <v>16.342630967993454</v>
      </c>
      <c r="N148" s="95">
        <f>SUM(N139:N147)</f>
        <v>-8.1707583615119663</v>
      </c>
      <c r="O148" s="161">
        <f>M148+(-1*N148)</f>
        <v>24.513389329505422</v>
      </c>
      <c r="P148" s="26"/>
      <c r="Q148" s="95">
        <f>SUM(Q139:Q147)</f>
        <v>27.237718279989092</v>
      </c>
      <c r="R148" s="95">
        <f>SUM(R139:R147)</f>
        <v>-13.617930602519943</v>
      </c>
      <c r="S148" s="161">
        <f>Q148+(-1*R148)</f>
        <v>40.855648882509037</v>
      </c>
      <c r="T148" s="26"/>
      <c r="U148" s="95">
        <f>SUM(U139:U147)</f>
        <v>16.342630967993454</v>
      </c>
      <c r="V148" s="95">
        <f>SUM(V139:V147)</f>
        <v>-8.1707583615119663</v>
      </c>
      <c r="W148" s="162">
        <f>U148+(-1*V148)</f>
        <v>24.513389329505422</v>
      </c>
    </row>
  </sheetData>
  <mergeCells count="8">
    <mergeCell ref="U137:V137"/>
    <mergeCell ref="M137:N137"/>
    <mergeCell ref="M123:N123"/>
    <mergeCell ref="L122:W122"/>
    <mergeCell ref="L136:W136"/>
    <mergeCell ref="Q123:R123"/>
    <mergeCell ref="U123:V123"/>
    <mergeCell ref="Q137:R13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563A-0350-4F2D-BCCD-EF0BE2A3F8B1}">
  <dimension ref="B2:R25"/>
  <sheetViews>
    <sheetView workbookViewId="0">
      <selection activeCell="L16" sqref="L16"/>
    </sheetView>
  </sheetViews>
  <sheetFormatPr baseColWidth="10" defaultRowHeight="15" x14ac:dyDescent="0.25"/>
  <cols>
    <col min="3" max="3" width="15.140625" customWidth="1"/>
    <col min="4" max="5" width="14.28515625" bestFit="1" customWidth="1"/>
    <col min="7" max="7" width="15.7109375" customWidth="1"/>
    <col min="9" max="9" width="15.140625" bestFit="1" customWidth="1"/>
    <col min="10" max="10" width="15.42578125" customWidth="1"/>
    <col min="11" max="11" width="15.28515625" customWidth="1"/>
    <col min="13" max="13" width="15.140625" bestFit="1" customWidth="1"/>
  </cols>
  <sheetData>
    <row r="2" spans="2:18" ht="15.75" thickBot="1" x14ac:dyDescent="0.3"/>
    <row r="3" spans="2:18" x14ac:dyDescent="0.25">
      <c r="B3" s="82" t="s">
        <v>168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1"/>
      <c r="N3" s="150"/>
      <c r="P3" s="90" t="s">
        <v>182</v>
      </c>
      <c r="Q3" s="29"/>
      <c r="R3" s="30"/>
    </row>
    <row r="4" spans="2:18" ht="18" x14ac:dyDescent="0.35">
      <c r="B4" s="54" t="s">
        <v>53</v>
      </c>
      <c r="C4" s="99" t="s">
        <v>207</v>
      </c>
      <c r="D4" s="99" t="s">
        <v>206</v>
      </c>
      <c r="E4" s="99" t="s">
        <v>185</v>
      </c>
      <c r="F4" s="99" t="s">
        <v>55</v>
      </c>
      <c r="G4" s="99" t="s">
        <v>48</v>
      </c>
      <c r="H4" s="99" t="s">
        <v>186</v>
      </c>
      <c r="I4" s="99" t="s">
        <v>187</v>
      </c>
      <c r="J4" s="99" t="s">
        <v>188</v>
      </c>
      <c r="K4" s="99" t="s">
        <v>54</v>
      </c>
      <c r="L4" s="99" t="s">
        <v>203</v>
      </c>
      <c r="M4" s="100" t="s">
        <v>189</v>
      </c>
      <c r="N4" s="2"/>
      <c r="P4" s="23" t="s">
        <v>195</v>
      </c>
      <c r="Q4" s="4">
        <v>23.5</v>
      </c>
      <c r="R4" s="21" t="s">
        <v>51</v>
      </c>
    </row>
    <row r="5" spans="2:18" ht="15.75" thickBot="1" x14ac:dyDescent="0.3">
      <c r="B5" s="163" t="s">
        <v>254</v>
      </c>
      <c r="C5" s="164">
        <v>2</v>
      </c>
      <c r="D5" s="164">
        <v>21240</v>
      </c>
      <c r="E5" s="164">
        <v>23950</v>
      </c>
      <c r="F5" s="164">
        <v>1709</v>
      </c>
      <c r="G5" s="164">
        <v>36</v>
      </c>
      <c r="H5" s="164">
        <v>17</v>
      </c>
      <c r="I5" s="164">
        <v>0.8</v>
      </c>
      <c r="J5" s="164">
        <v>1.27</v>
      </c>
      <c r="K5" s="164">
        <v>72.7</v>
      </c>
      <c r="L5" s="164">
        <v>16270</v>
      </c>
      <c r="M5" s="36">
        <f>G5-2*J5</f>
        <v>33.46</v>
      </c>
      <c r="N5" s="5"/>
      <c r="P5" s="91" t="s">
        <v>66</v>
      </c>
      <c r="Q5" s="4">
        <v>21000</v>
      </c>
      <c r="R5" s="21" t="s">
        <v>51</v>
      </c>
    </row>
    <row r="6" spans="2:18" ht="18.75" thickBot="1" x14ac:dyDescent="0.4">
      <c r="P6" s="91" t="s">
        <v>193</v>
      </c>
      <c r="Q6" s="4">
        <v>1</v>
      </c>
      <c r="R6" s="21"/>
    </row>
    <row r="7" spans="2:18" ht="18" x14ac:dyDescent="0.35">
      <c r="B7" s="82" t="s">
        <v>169</v>
      </c>
      <c r="C7" s="80"/>
      <c r="D7" s="80"/>
      <c r="E7" s="80"/>
      <c r="F7" s="80"/>
      <c r="G7" s="80"/>
      <c r="H7" s="80"/>
      <c r="I7" s="80"/>
      <c r="J7" s="80"/>
      <c r="K7" s="29"/>
      <c r="L7" s="29"/>
      <c r="M7" s="29"/>
      <c r="N7" s="81"/>
      <c r="P7" s="91" t="s">
        <v>194</v>
      </c>
      <c r="Q7" s="4">
        <v>1.1000000000000001</v>
      </c>
      <c r="R7" s="21"/>
    </row>
    <row r="8" spans="2:18" ht="18" x14ac:dyDescent="0.35">
      <c r="B8" s="54" t="s">
        <v>53</v>
      </c>
      <c r="C8" s="99" t="s">
        <v>48</v>
      </c>
      <c r="D8" s="99" t="s">
        <v>186</v>
      </c>
      <c r="E8" s="99" t="s">
        <v>187</v>
      </c>
      <c r="F8" s="99" t="s">
        <v>188</v>
      </c>
      <c r="G8" s="99" t="s">
        <v>54</v>
      </c>
      <c r="H8" s="99" t="s">
        <v>203</v>
      </c>
      <c r="I8" s="99" t="s">
        <v>250</v>
      </c>
      <c r="J8" s="99" t="s">
        <v>204</v>
      </c>
      <c r="K8" s="153" t="s">
        <v>252</v>
      </c>
      <c r="L8" s="153" t="s">
        <v>251</v>
      </c>
      <c r="M8" s="153" t="s">
        <v>190</v>
      </c>
      <c r="N8" s="100" t="s">
        <v>189</v>
      </c>
      <c r="P8" s="91" t="s">
        <v>191</v>
      </c>
      <c r="Q8" s="4">
        <v>93.9</v>
      </c>
      <c r="R8" s="21"/>
    </row>
    <row r="9" spans="2:18" ht="18.75" thickBot="1" x14ac:dyDescent="0.4">
      <c r="B9" s="163" t="s">
        <v>253</v>
      </c>
      <c r="C9" s="164">
        <v>65</v>
      </c>
      <c r="D9" s="165">
        <v>30</v>
      </c>
      <c r="E9" s="165">
        <v>1.7</v>
      </c>
      <c r="F9" s="165">
        <v>3.2</v>
      </c>
      <c r="G9" s="165">
        <v>286.3</v>
      </c>
      <c r="H9" s="164">
        <v>256900</v>
      </c>
      <c r="I9" s="164">
        <v>29</v>
      </c>
      <c r="J9" s="164">
        <v>6.87</v>
      </c>
      <c r="K9" s="164">
        <v>0.21</v>
      </c>
      <c r="L9" s="164">
        <v>0.34</v>
      </c>
      <c r="M9" s="164">
        <v>172020</v>
      </c>
      <c r="N9" s="151">
        <f>C9-2*F9</f>
        <v>58.6</v>
      </c>
      <c r="P9" s="91" t="s">
        <v>192</v>
      </c>
      <c r="Q9" s="4">
        <v>1.45</v>
      </c>
      <c r="R9" s="21"/>
    </row>
    <row r="10" spans="2:18" ht="18.75" thickBot="1" x14ac:dyDescent="0.4">
      <c r="P10" s="50" t="s">
        <v>205</v>
      </c>
      <c r="Q10" s="34">
        <v>1.1000000000000001</v>
      </c>
      <c r="R10" s="27"/>
    </row>
    <row r="11" spans="2:18" x14ac:dyDescent="0.25">
      <c r="B11" s="82" t="s">
        <v>172</v>
      </c>
      <c r="C11" s="80"/>
      <c r="D11" s="80"/>
      <c r="E11" s="80"/>
      <c r="F11" s="80"/>
      <c r="G11" s="80"/>
      <c r="H11" s="80"/>
      <c r="I11" s="80"/>
      <c r="J11" s="81"/>
    </row>
    <row r="12" spans="2:18" ht="16.5" x14ac:dyDescent="0.25">
      <c r="B12" s="83" t="s">
        <v>3</v>
      </c>
      <c r="C12" s="84" t="s">
        <v>53</v>
      </c>
      <c r="D12" s="84" t="s">
        <v>183</v>
      </c>
      <c r="E12" s="84" t="s">
        <v>184</v>
      </c>
      <c r="F12" s="84" t="s">
        <v>54</v>
      </c>
      <c r="G12" s="84" t="s">
        <v>58</v>
      </c>
      <c r="H12" s="84" t="s">
        <v>203</v>
      </c>
      <c r="I12" s="87" t="s">
        <v>62</v>
      </c>
      <c r="J12" s="85" t="s">
        <v>190</v>
      </c>
    </row>
    <row r="13" spans="2:18" x14ac:dyDescent="0.25">
      <c r="B13" s="88">
        <v>1</v>
      </c>
      <c r="C13" s="166" t="s">
        <v>245</v>
      </c>
      <c r="D13" s="160">
        <v>193.7</v>
      </c>
      <c r="E13" s="160">
        <v>6</v>
      </c>
      <c r="F13" s="167">
        <v>35.380000000000003</v>
      </c>
      <c r="G13" s="168">
        <v>6.64</v>
      </c>
      <c r="H13" s="169">
        <v>1560</v>
      </c>
      <c r="I13" s="168">
        <v>0.49</v>
      </c>
      <c r="J13" s="170">
        <v>4970.3</v>
      </c>
    </row>
    <row r="14" spans="2:18" x14ac:dyDescent="0.25">
      <c r="B14" s="88">
        <v>2</v>
      </c>
      <c r="C14" s="166" t="s">
        <v>245</v>
      </c>
      <c r="D14" s="160">
        <v>193.7</v>
      </c>
      <c r="E14" s="160">
        <v>6</v>
      </c>
      <c r="F14" s="167">
        <v>35.380000000000003</v>
      </c>
      <c r="G14" s="168">
        <v>6.64</v>
      </c>
      <c r="H14" s="169">
        <v>1560</v>
      </c>
      <c r="I14" s="168">
        <v>0.49</v>
      </c>
      <c r="J14" s="170">
        <v>4970.3</v>
      </c>
    </row>
    <row r="15" spans="2:18" x14ac:dyDescent="0.25">
      <c r="B15" s="88">
        <v>3</v>
      </c>
      <c r="C15" s="166" t="s">
        <v>247</v>
      </c>
      <c r="D15" s="160">
        <v>177.8</v>
      </c>
      <c r="E15" s="160">
        <v>6.3</v>
      </c>
      <c r="F15" s="167">
        <v>32.380000000000003</v>
      </c>
      <c r="G15" s="168">
        <v>6.08</v>
      </c>
      <c r="H15" s="169">
        <v>1196</v>
      </c>
      <c r="I15" s="168">
        <v>0.49</v>
      </c>
      <c r="J15" s="170">
        <v>4164.2</v>
      </c>
    </row>
    <row r="16" spans="2:18" x14ac:dyDescent="0.25">
      <c r="B16" s="88">
        <v>4</v>
      </c>
      <c r="C16" s="11"/>
      <c r="D16" s="4"/>
      <c r="E16" s="4"/>
      <c r="F16" s="136"/>
      <c r="G16" s="137"/>
      <c r="H16" s="139"/>
      <c r="I16" s="137"/>
      <c r="J16" s="138"/>
    </row>
    <row r="17" spans="2:14" x14ac:dyDescent="0.25">
      <c r="B17" s="88">
        <v>5</v>
      </c>
      <c r="C17" s="11"/>
      <c r="D17" s="4"/>
      <c r="E17" s="4"/>
      <c r="F17" s="136"/>
      <c r="G17" s="137"/>
      <c r="H17" s="139"/>
      <c r="I17" s="137"/>
      <c r="J17" s="138"/>
    </row>
    <row r="18" spans="2:14" x14ac:dyDescent="0.25">
      <c r="B18" s="88">
        <v>6</v>
      </c>
      <c r="C18" s="11"/>
      <c r="D18" s="4"/>
      <c r="E18" s="4"/>
      <c r="F18" s="136"/>
      <c r="G18" s="137"/>
      <c r="H18" s="139"/>
      <c r="I18" s="137"/>
      <c r="J18" s="138"/>
    </row>
    <row r="19" spans="2:14" x14ac:dyDescent="0.25">
      <c r="B19" s="88">
        <v>7</v>
      </c>
      <c r="C19" s="11"/>
      <c r="D19" s="4"/>
      <c r="E19" s="4"/>
      <c r="F19" s="136"/>
      <c r="G19" s="137"/>
      <c r="H19" s="139"/>
      <c r="I19" s="137"/>
      <c r="J19" s="138"/>
    </row>
    <row r="20" spans="2:14" x14ac:dyDescent="0.25">
      <c r="B20" s="88">
        <v>8</v>
      </c>
      <c r="C20" s="11"/>
      <c r="D20" s="4"/>
      <c r="E20" s="4"/>
      <c r="F20" s="137"/>
      <c r="G20" s="137"/>
      <c r="H20" s="139"/>
      <c r="I20" s="137"/>
      <c r="J20" s="138"/>
    </row>
    <row r="21" spans="2:14" ht="15.75" thickBot="1" x14ac:dyDescent="0.3">
      <c r="B21" s="89">
        <v>9</v>
      </c>
      <c r="C21" s="86"/>
      <c r="D21" s="34"/>
      <c r="E21" s="34"/>
      <c r="F21" s="140"/>
      <c r="G21" s="140"/>
      <c r="H21" s="142"/>
      <c r="I21" s="143"/>
      <c r="J21" s="141"/>
    </row>
    <row r="25" spans="2:14" x14ac:dyDescent="0.25">
      <c r="B25" s="4"/>
      <c r="C25" s="4"/>
      <c r="D25" s="12"/>
      <c r="E25" s="12"/>
      <c r="F25" s="12"/>
      <c r="G25" s="12"/>
      <c r="H25" s="4"/>
      <c r="I25" s="4"/>
      <c r="J25" s="4"/>
      <c r="K25" s="4"/>
      <c r="L25" s="4"/>
      <c r="M25" s="4"/>
      <c r="N25" s="17"/>
    </row>
  </sheetData>
  <phoneticPr fontId="1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6643-04BF-45CF-8ECA-E04CD94177C3}">
  <dimension ref="B2:Z82"/>
  <sheetViews>
    <sheetView tabSelected="1" topLeftCell="A21" zoomScale="85" zoomScaleNormal="85" workbookViewId="0">
      <selection activeCell="F5" sqref="F5"/>
    </sheetView>
  </sheetViews>
  <sheetFormatPr baseColWidth="10" defaultRowHeight="15" x14ac:dyDescent="0.25"/>
  <cols>
    <col min="7" max="7" width="11.42578125" customWidth="1"/>
  </cols>
  <sheetData>
    <row r="2" spans="2:19" ht="15.75" thickBot="1" x14ac:dyDescent="0.3"/>
    <row r="3" spans="2:19" x14ac:dyDescent="0.25">
      <c r="B3" s="158" t="s">
        <v>50</v>
      </c>
      <c r="C3" s="152">
        <f>'Cross Sections and Materials'!Q4</f>
        <v>23.5</v>
      </c>
      <c r="D3" s="126" t="s">
        <v>51</v>
      </c>
    </row>
    <row r="4" spans="2:19" x14ac:dyDescent="0.25">
      <c r="B4" s="20" t="s">
        <v>52</v>
      </c>
      <c r="C4" s="5">
        <f>'Cross Sections and Materials'!Q6</f>
        <v>1</v>
      </c>
      <c r="D4" s="21"/>
    </row>
    <row r="5" spans="2:19" x14ac:dyDescent="0.25">
      <c r="B5" s="20" t="s">
        <v>83</v>
      </c>
      <c r="C5" s="5">
        <f>'Cross Sections and Materials'!Q7</f>
        <v>1.1000000000000001</v>
      </c>
      <c r="D5" s="21"/>
    </row>
    <row r="6" spans="2:19" ht="18.75" thickBot="1" x14ac:dyDescent="0.4">
      <c r="B6" s="159" t="s">
        <v>60</v>
      </c>
      <c r="C6" s="35">
        <f>'Cross Sections and Materials'!Q8</f>
        <v>93.9</v>
      </c>
      <c r="D6" s="27"/>
    </row>
    <row r="7" spans="2:19" x14ac:dyDescent="0.25">
      <c r="C7" s="4"/>
    </row>
    <row r="8" spans="2:19" x14ac:dyDescent="0.25">
      <c r="B8" s="10" t="s">
        <v>168</v>
      </c>
    </row>
    <row r="9" spans="2:19" x14ac:dyDescent="0.25">
      <c r="B9" t="s">
        <v>165</v>
      </c>
      <c r="E9" s="2"/>
      <c r="F9" s="2"/>
      <c r="G9" s="2"/>
      <c r="I9" s="2"/>
      <c r="J9" s="2"/>
      <c r="K9" s="2"/>
      <c r="Q9" s="2"/>
      <c r="R9" s="2"/>
      <c r="S9" s="2"/>
    </row>
    <row r="10" spans="2:19" ht="15.75" thickBot="1" x14ac:dyDescent="0.3">
      <c r="E10" s="2"/>
      <c r="F10" s="2"/>
      <c r="G10" s="2"/>
      <c r="I10" s="2"/>
      <c r="J10" s="2"/>
      <c r="K10" s="2"/>
      <c r="Q10" s="2"/>
      <c r="R10" s="2"/>
      <c r="S10" s="2"/>
    </row>
    <row r="11" spans="2:19" x14ac:dyDescent="0.25">
      <c r="B11" s="28" t="s">
        <v>166</v>
      </c>
      <c r="C11" s="37"/>
      <c r="D11" s="37"/>
      <c r="E11" s="37"/>
      <c r="F11" s="38"/>
      <c r="G11" s="2"/>
      <c r="H11" s="28" t="s">
        <v>167</v>
      </c>
      <c r="I11" s="37"/>
      <c r="J11" s="37"/>
      <c r="K11" s="37"/>
      <c r="L11" s="37"/>
      <c r="M11" s="37"/>
      <c r="N11" s="37"/>
      <c r="O11" s="37"/>
      <c r="P11" s="37"/>
      <c r="Q11" s="38"/>
      <c r="R11" s="2"/>
      <c r="S11" s="2"/>
    </row>
    <row r="12" spans="2:19" x14ac:dyDescent="0.25">
      <c r="B12" s="54" t="s">
        <v>95</v>
      </c>
      <c r="C12" s="157">
        <v>22</v>
      </c>
      <c r="D12" s="16" t="s">
        <v>67</v>
      </c>
      <c r="E12" s="16" t="s">
        <v>69</v>
      </c>
      <c r="F12" s="31" t="s">
        <v>68</v>
      </c>
      <c r="H12" s="23" t="s">
        <v>53</v>
      </c>
      <c r="I12" s="2" t="s">
        <v>70</v>
      </c>
      <c r="J12" s="2" t="s">
        <v>71</v>
      </c>
      <c r="K12" s="2" t="s">
        <v>78</v>
      </c>
      <c r="L12" s="2" t="s">
        <v>73</v>
      </c>
      <c r="M12" s="2" t="s">
        <v>79</v>
      </c>
      <c r="N12" s="2" t="s">
        <v>74</v>
      </c>
      <c r="O12" s="2" t="s">
        <v>72</v>
      </c>
      <c r="Q12" s="21"/>
      <c r="R12" s="16"/>
      <c r="S12" s="16"/>
    </row>
    <row r="13" spans="2:19" x14ac:dyDescent="0.25">
      <c r="B13" s="178" t="s">
        <v>93</v>
      </c>
      <c r="C13" s="56" t="s">
        <v>96</v>
      </c>
      <c r="D13" s="160">
        <v>13440</v>
      </c>
      <c r="E13" s="160">
        <v>-30.97</v>
      </c>
      <c r="F13" s="155">
        <v>0</v>
      </c>
      <c r="H13" s="72" t="str">
        <f>'Cross Sections and Materials'!B5</f>
        <v>IPE 360</v>
      </c>
      <c r="I13" s="5">
        <f>'Cross Sections and Materials'!E5</f>
        <v>23950</v>
      </c>
      <c r="J13" s="5">
        <f>'Cross Sections and Materials'!F5</f>
        <v>1709</v>
      </c>
      <c r="K13" s="5">
        <f>'Cross Sections and Materials'!H5</f>
        <v>17</v>
      </c>
      <c r="L13" s="5">
        <f>'Cross Sections and Materials'!I5</f>
        <v>0.8</v>
      </c>
      <c r="M13" s="5">
        <f>'Cross Sections and Materials'!J5</f>
        <v>1.27</v>
      </c>
      <c r="N13" s="5">
        <f>'Cross Sections and Materials'!K5</f>
        <v>72.7</v>
      </c>
      <c r="O13" s="5">
        <f>'Cross Sections and Materials'!M5</f>
        <v>33.46</v>
      </c>
      <c r="Q13" s="21"/>
    </row>
    <row r="14" spans="2:19" x14ac:dyDescent="0.25">
      <c r="B14" s="178"/>
      <c r="C14" s="56" t="s">
        <v>87</v>
      </c>
      <c r="D14" s="103">
        <v>0</v>
      </c>
      <c r="E14" s="160">
        <v>-67.3</v>
      </c>
      <c r="F14" s="155">
        <v>0</v>
      </c>
      <c r="H14" s="49"/>
      <c r="I14" s="4"/>
      <c r="J14" s="4"/>
      <c r="K14" s="4"/>
      <c r="L14" s="12"/>
      <c r="M14" s="4"/>
      <c r="N14" s="4"/>
      <c r="O14" s="5"/>
      <c r="P14" s="5"/>
      <c r="Q14" s="39"/>
    </row>
    <row r="15" spans="2:19" ht="18" x14ac:dyDescent="0.35">
      <c r="B15" s="178"/>
      <c r="C15" s="56" t="s">
        <v>88</v>
      </c>
      <c r="D15" s="4"/>
      <c r="E15" s="4"/>
      <c r="F15" s="46"/>
      <c r="H15" s="20"/>
      <c r="I15" s="2" t="s">
        <v>67</v>
      </c>
      <c r="J15" s="2" t="s">
        <v>69</v>
      </c>
      <c r="K15" s="2" t="s">
        <v>75</v>
      </c>
      <c r="L15" s="2" t="s">
        <v>76</v>
      </c>
      <c r="M15" s="2" t="s">
        <v>77</v>
      </c>
      <c r="N15" s="2" t="s">
        <v>82</v>
      </c>
      <c r="O15" s="14" t="s">
        <v>80</v>
      </c>
      <c r="P15" s="14" t="s">
        <v>81</v>
      </c>
      <c r="Q15" s="21"/>
    </row>
    <row r="16" spans="2:19" x14ac:dyDescent="0.25">
      <c r="B16" s="179"/>
      <c r="C16" s="57" t="s">
        <v>97</v>
      </c>
      <c r="D16" s="43">
        <f>SUM(D13:D15)</f>
        <v>13440</v>
      </c>
      <c r="E16" s="44">
        <f t="shared" ref="E16:F16" si="0">SUM(E13:E15)</f>
        <v>-98.27</v>
      </c>
      <c r="F16" s="47">
        <f t="shared" si="0"/>
        <v>0</v>
      </c>
      <c r="H16" s="23" t="s">
        <v>93</v>
      </c>
      <c r="I16" s="5">
        <f>D16</f>
        <v>13440</v>
      </c>
      <c r="J16" s="8">
        <f>E16</f>
        <v>-98.27</v>
      </c>
      <c r="K16" s="15" t="str">
        <f>IF(MIN(0.25*J13, 0.5*O13*L13*$C$3/$C$4) &lt; ABS(J16), "JA", "NEIN")</f>
        <v>NEIN</v>
      </c>
      <c r="L16" s="9">
        <f>IF(K16="JA", ABS(J16)/$J$13, 0)</f>
        <v>0</v>
      </c>
      <c r="M16" s="9">
        <f>IF(K16="JA", MIN(($N$13-2*$K$13*$M$13)/$N$13, 0.5), 0)</f>
        <v>0</v>
      </c>
      <c r="N16" s="13">
        <f>MIN($I$13, $I$13*(1-L16)/(1-0.5*M16))</f>
        <v>23950</v>
      </c>
      <c r="O16" s="9">
        <f>ABS(J16)/$J$13</f>
        <v>5.7501462843768281E-2</v>
      </c>
      <c r="P16" s="9">
        <f>I16/N16</f>
        <v>0.56116910229645089</v>
      </c>
      <c r="Q16" s="40" t="str">
        <f>IF(P16&lt;1,"OK!","NG!")</f>
        <v>OK!</v>
      </c>
    </row>
    <row r="17" spans="2:18" ht="15.75" thickBot="1" x14ac:dyDescent="0.3">
      <c r="B17" s="41"/>
      <c r="F17" s="21"/>
      <c r="H17" s="50" t="s">
        <v>94</v>
      </c>
      <c r="I17" s="35">
        <f>D22</f>
        <v>12190</v>
      </c>
      <c r="J17" s="42">
        <f>E22</f>
        <v>-140.09</v>
      </c>
      <c r="K17" s="51" t="str">
        <f>IF(MIN(0.25*J13, 0.5*O13*L13*$C$3/$C$4) &lt; ABS(J17), "JA", "NEIN")</f>
        <v>NEIN</v>
      </c>
      <c r="L17" s="25">
        <f>IF(K17="JA", ABS(J17)/$J$13, 0)</f>
        <v>0</v>
      </c>
      <c r="M17" s="25">
        <f>IF(K17="JA", MIN(($N$13-2*$K$13*$M$13)/$N$13, 0.5), 0)</f>
        <v>0</v>
      </c>
      <c r="N17" s="52">
        <f>MIN($I$13, $I$13*(1-L17)/(1-0.5*M17))</f>
        <v>23950</v>
      </c>
      <c r="O17" s="25">
        <f>ABS(J17)/$J$13</f>
        <v>8.1971913399648919E-2</v>
      </c>
      <c r="P17" s="25">
        <f>I17/N17</f>
        <v>0.50897703549060547</v>
      </c>
      <c r="Q17" s="53" t="str">
        <f>IF(P17&lt;1,"OK!","NG!")</f>
        <v>OK!</v>
      </c>
    </row>
    <row r="18" spans="2:18" x14ac:dyDescent="0.25">
      <c r="B18" s="54" t="s">
        <v>95</v>
      </c>
      <c r="C18" s="157">
        <v>22</v>
      </c>
      <c r="D18" s="45" t="s">
        <v>67</v>
      </c>
      <c r="E18" s="45" t="s">
        <v>69</v>
      </c>
      <c r="F18" s="48" t="s">
        <v>68</v>
      </c>
    </row>
    <row r="19" spans="2:18" x14ac:dyDescent="0.25">
      <c r="B19" s="178" t="s">
        <v>94</v>
      </c>
      <c r="C19" s="56" t="s">
        <v>96</v>
      </c>
      <c r="D19" s="160">
        <v>12190</v>
      </c>
      <c r="E19" s="160">
        <v>-28.49</v>
      </c>
      <c r="F19" s="155">
        <v>0</v>
      </c>
    </row>
    <row r="20" spans="2:18" x14ac:dyDescent="0.25">
      <c r="B20" s="178"/>
      <c r="C20" s="56" t="s">
        <v>87</v>
      </c>
      <c r="D20" s="103">
        <v>0</v>
      </c>
      <c r="E20" s="160">
        <v>-111.6</v>
      </c>
      <c r="F20" s="155">
        <v>0</v>
      </c>
    </row>
    <row r="21" spans="2:18" x14ac:dyDescent="0.25">
      <c r="B21" s="178"/>
      <c r="C21" s="56" t="s">
        <v>88</v>
      </c>
      <c r="D21" s="4"/>
      <c r="E21" s="4"/>
      <c r="F21" s="46"/>
    </row>
    <row r="22" spans="2:18" ht="15.75" thickBot="1" x14ac:dyDescent="0.3">
      <c r="B22" s="180"/>
      <c r="C22" s="58" t="s">
        <v>97</v>
      </c>
      <c r="D22" s="35">
        <f>SUM(D19:D21)</f>
        <v>12190</v>
      </c>
      <c r="E22" s="42">
        <f t="shared" ref="E22" si="1">SUM(E19:E21)</f>
        <v>-140.09</v>
      </c>
      <c r="F22" s="36">
        <f t="shared" ref="F22" si="2">SUM(F19:F21)</f>
        <v>0</v>
      </c>
    </row>
    <row r="24" spans="2:18" x14ac:dyDescent="0.25">
      <c r="B24" s="10" t="s">
        <v>169</v>
      </c>
      <c r="N24" s="9"/>
      <c r="O24" s="9"/>
      <c r="P24" s="16"/>
    </row>
    <row r="25" spans="2:18" ht="15.75" thickBot="1" x14ac:dyDescent="0.3"/>
    <row r="26" spans="2:18" x14ac:dyDescent="0.25">
      <c r="B26" s="28" t="s">
        <v>166</v>
      </c>
      <c r="C26" s="37"/>
      <c r="D26" s="37"/>
      <c r="E26" s="37"/>
      <c r="F26" s="38"/>
      <c r="H26" s="62" t="s">
        <v>167</v>
      </c>
      <c r="I26" s="63"/>
      <c r="J26" s="63"/>
      <c r="K26" s="63"/>
      <c r="L26" s="63"/>
      <c r="M26" s="63"/>
      <c r="N26" s="63"/>
      <c r="O26" s="63"/>
      <c r="P26" s="63"/>
      <c r="Q26" s="63"/>
      <c r="R26" s="64"/>
    </row>
    <row r="27" spans="2:18" x14ac:dyDescent="0.25">
      <c r="B27" s="54" t="s">
        <v>95</v>
      </c>
      <c r="C27" s="157">
        <v>2</v>
      </c>
      <c r="D27" s="16" t="s">
        <v>67</v>
      </c>
      <c r="E27" s="16" t="s">
        <v>69</v>
      </c>
      <c r="F27" s="31" t="s">
        <v>68</v>
      </c>
      <c r="H27" s="65" t="s">
        <v>53</v>
      </c>
      <c r="I27" s="66" t="s">
        <v>54</v>
      </c>
      <c r="J27" s="66" t="s">
        <v>58</v>
      </c>
      <c r="K27" s="67" t="s">
        <v>62</v>
      </c>
      <c r="L27" s="66" t="s">
        <v>57</v>
      </c>
      <c r="M27" s="45" t="s">
        <v>180</v>
      </c>
      <c r="N27" s="66" t="s">
        <v>59</v>
      </c>
      <c r="O27" s="66" t="s">
        <v>61</v>
      </c>
      <c r="P27" s="66" t="s">
        <v>63</v>
      </c>
      <c r="Q27" s="66" t="s">
        <v>25</v>
      </c>
      <c r="R27" s="68" t="s">
        <v>64</v>
      </c>
    </row>
    <row r="28" spans="2:18" x14ac:dyDescent="0.25">
      <c r="B28" s="178" t="s">
        <v>93</v>
      </c>
      <c r="C28" s="56" t="s">
        <v>96</v>
      </c>
      <c r="D28" s="160">
        <v>158</v>
      </c>
      <c r="E28" s="160">
        <v>1642</v>
      </c>
      <c r="F28" s="155">
        <v>0</v>
      </c>
      <c r="H28" s="73" t="str">
        <f>'Cross Sections and Materials'!B9</f>
        <v>HEB 650</v>
      </c>
      <c r="I28" s="15">
        <f>'Cross Sections and Materials'!G9</f>
        <v>286.3</v>
      </c>
      <c r="J28" s="15">
        <f>'Cross Sections and Materials'!J9</f>
        <v>6.87</v>
      </c>
      <c r="K28" s="15">
        <f>'Cross Sections and Materials'!L9</f>
        <v>0.34</v>
      </c>
      <c r="L28" s="4">
        <v>350</v>
      </c>
      <c r="M28" s="4">
        <v>1</v>
      </c>
      <c r="N28" s="5">
        <f>M28*L28</f>
        <v>350</v>
      </c>
      <c r="O28" s="9">
        <f>N28/J28/$C$6</f>
        <v>0.54255742970393406</v>
      </c>
      <c r="P28" s="6">
        <f>0.5*(1+K28*(O28-0.2)+O28^2)</f>
        <v>0.70541904531313848</v>
      </c>
      <c r="Q28" s="9">
        <f>MIN(1/(P28+SQRT(P28^2-O28^2)), 1)</f>
        <v>0.86486576473449372</v>
      </c>
      <c r="R28" s="59">
        <f>Q28*I28*$C$3/$C$5</f>
        <v>5289.8728258381007</v>
      </c>
    </row>
    <row r="29" spans="2:18" x14ac:dyDescent="0.25">
      <c r="B29" s="178"/>
      <c r="C29" s="56" t="s">
        <v>87</v>
      </c>
      <c r="D29" s="160">
        <v>-1115</v>
      </c>
      <c r="E29" s="160">
        <v>125.7</v>
      </c>
      <c r="F29" s="155">
        <v>0</v>
      </c>
      <c r="H29" s="20"/>
      <c r="R29" s="21"/>
    </row>
    <row r="30" spans="2:18" x14ac:dyDescent="0.25">
      <c r="B30" s="178"/>
      <c r="C30" s="56" t="s">
        <v>88</v>
      </c>
      <c r="D30" s="4"/>
      <c r="E30" s="4"/>
      <c r="F30" s="46"/>
      <c r="H30" s="20"/>
      <c r="I30" s="2" t="s">
        <v>69</v>
      </c>
      <c r="J30" s="14" t="s">
        <v>56</v>
      </c>
      <c r="R30" s="21"/>
    </row>
    <row r="31" spans="2:18" x14ac:dyDescent="0.25">
      <c r="B31" s="179"/>
      <c r="C31" s="57" t="s">
        <v>97</v>
      </c>
      <c r="D31" s="43">
        <f>SUM(D28:D30)</f>
        <v>-957</v>
      </c>
      <c r="E31" s="44">
        <f t="shared" ref="E31" si="3">SUM(E28:E30)</f>
        <v>1767.7</v>
      </c>
      <c r="F31" s="47">
        <f t="shared" ref="F31" si="4">SUM(F28:F30)</f>
        <v>0</v>
      </c>
      <c r="G31" s="16"/>
      <c r="H31" s="23" t="s">
        <v>93</v>
      </c>
      <c r="I31" s="71">
        <f>E31</f>
        <v>1767.7</v>
      </c>
      <c r="J31" s="9">
        <f>I31/$R$28</f>
        <v>0.33416682370240813</v>
      </c>
      <c r="K31" s="2" t="str">
        <f>IF(J31&lt;1,"OK!","NG!")</f>
        <v>OK!</v>
      </c>
      <c r="R31" s="21"/>
    </row>
    <row r="32" spans="2:18" ht="15.75" thickBot="1" x14ac:dyDescent="0.3">
      <c r="B32" s="41"/>
      <c r="F32" s="21"/>
      <c r="G32" s="6"/>
      <c r="H32" s="50" t="s">
        <v>94</v>
      </c>
      <c r="I32" s="60">
        <f>E37</f>
        <v>1717.5</v>
      </c>
      <c r="J32" s="25">
        <f>I32/$R$28</f>
        <v>0.32467699253769639</v>
      </c>
      <c r="K32" s="61" t="str">
        <f>IF(J32&lt;1,"OK!","NG!")</f>
        <v>OK!</v>
      </c>
      <c r="L32" s="26"/>
      <c r="M32" s="26"/>
      <c r="N32" s="26"/>
      <c r="O32" s="26"/>
      <c r="P32" s="26"/>
      <c r="Q32" s="26"/>
      <c r="R32" s="27"/>
    </row>
    <row r="33" spans="2:26" x14ac:dyDescent="0.25">
      <c r="B33" s="54" t="s">
        <v>95</v>
      </c>
      <c r="C33" s="157">
        <v>2</v>
      </c>
      <c r="D33" s="45" t="s">
        <v>67</v>
      </c>
      <c r="E33" s="45" t="s">
        <v>69</v>
      </c>
      <c r="F33" s="48" t="s">
        <v>68</v>
      </c>
      <c r="G33" s="6"/>
      <c r="H33" s="18"/>
      <c r="I33" s="8"/>
    </row>
    <row r="34" spans="2:26" x14ac:dyDescent="0.25">
      <c r="B34" s="178" t="s">
        <v>94</v>
      </c>
      <c r="C34" s="56" t="s">
        <v>96</v>
      </c>
      <c r="D34" s="160">
        <v>145.30000000000001</v>
      </c>
      <c r="E34" s="160">
        <v>1509</v>
      </c>
      <c r="F34" s="155">
        <v>0</v>
      </c>
      <c r="H34" t="s">
        <v>170</v>
      </c>
    </row>
    <row r="35" spans="2:26" x14ac:dyDescent="0.25">
      <c r="B35" s="178"/>
      <c r="C35" s="56" t="s">
        <v>87</v>
      </c>
      <c r="D35" s="160">
        <v>-1849</v>
      </c>
      <c r="E35" s="160">
        <v>208.5</v>
      </c>
      <c r="F35" s="155">
        <v>0</v>
      </c>
      <c r="H35" t="s">
        <v>171</v>
      </c>
    </row>
    <row r="36" spans="2:26" x14ac:dyDescent="0.25">
      <c r="B36" s="178"/>
      <c r="C36" s="56" t="s">
        <v>88</v>
      </c>
      <c r="D36" s="4"/>
      <c r="E36" s="4"/>
      <c r="F36" s="46"/>
      <c r="G36" s="2"/>
      <c r="H36" s="3"/>
      <c r="I36" s="2"/>
      <c r="J36" s="2"/>
      <c r="K36" s="2"/>
      <c r="L36" s="2"/>
      <c r="M36" s="2"/>
      <c r="N36" s="2"/>
      <c r="O36" s="14"/>
    </row>
    <row r="37" spans="2:26" ht="15.75" thickBot="1" x14ac:dyDescent="0.3">
      <c r="B37" s="180"/>
      <c r="C37" s="58" t="s">
        <v>97</v>
      </c>
      <c r="D37" s="35">
        <f>SUM(D34:D36)</f>
        <v>-1703.7</v>
      </c>
      <c r="E37" s="42">
        <f t="shared" ref="E37" si="5">SUM(E34:E36)</f>
        <v>1717.5</v>
      </c>
      <c r="F37" s="36">
        <f t="shared" ref="F37" si="6">SUM(F34:F36)</f>
        <v>0</v>
      </c>
      <c r="G37" s="5"/>
      <c r="H37" s="5"/>
      <c r="I37" s="8"/>
      <c r="J37" s="5"/>
      <c r="K37" s="9"/>
      <c r="L37" s="6"/>
      <c r="M37" s="9"/>
      <c r="N37" s="6"/>
      <c r="O37" s="9"/>
      <c r="P37" s="2"/>
    </row>
    <row r="38" spans="2:26" x14ac:dyDescent="0.25">
      <c r="D38" s="4"/>
      <c r="E38" s="5"/>
      <c r="F38" s="17"/>
      <c r="G38" s="5"/>
      <c r="H38" s="5"/>
      <c r="I38" s="8"/>
      <c r="J38" s="5"/>
      <c r="K38" s="9"/>
      <c r="L38" s="6"/>
      <c r="M38" s="9"/>
      <c r="N38" s="6"/>
      <c r="O38" s="9"/>
      <c r="P38" s="2"/>
    </row>
    <row r="39" spans="2:26" x14ac:dyDescent="0.25">
      <c r="B39" s="10" t="s">
        <v>179</v>
      </c>
      <c r="D39" s="4"/>
      <c r="G39" s="5"/>
      <c r="H39" s="5"/>
      <c r="I39" s="8"/>
      <c r="J39" s="5"/>
      <c r="K39" s="9"/>
      <c r="L39" s="6"/>
      <c r="M39" s="9"/>
      <c r="N39" s="6"/>
      <c r="O39" s="9"/>
      <c r="P39" s="2"/>
    </row>
    <row r="40" spans="2:26" ht="15.75" thickBot="1" x14ac:dyDescent="0.3">
      <c r="B40" s="10"/>
      <c r="D40" s="4"/>
      <c r="E40" s="2"/>
      <c r="F40" s="2"/>
      <c r="G40" s="2"/>
      <c r="H40" s="14"/>
      <c r="J40" s="5"/>
      <c r="K40" s="9"/>
      <c r="L40" s="6"/>
      <c r="M40" s="9"/>
      <c r="N40" s="6"/>
      <c r="O40" s="9"/>
      <c r="P40" s="2"/>
    </row>
    <row r="41" spans="2:26" x14ac:dyDescent="0.25">
      <c r="B41" s="28" t="s">
        <v>166</v>
      </c>
      <c r="C41" s="37"/>
      <c r="D41" s="69" t="s">
        <v>175</v>
      </c>
      <c r="E41" s="69"/>
      <c r="F41" s="70"/>
      <c r="H41" s="28" t="s">
        <v>166</v>
      </c>
      <c r="I41" s="37"/>
      <c r="J41" s="176" t="s">
        <v>176</v>
      </c>
      <c r="K41" s="176"/>
      <c r="L41" s="177"/>
      <c r="N41" s="62" t="s">
        <v>167</v>
      </c>
      <c r="O41" s="37"/>
      <c r="P41" s="37"/>
      <c r="Q41" s="63"/>
      <c r="R41" s="63"/>
      <c r="S41" s="63"/>
      <c r="T41" s="63"/>
      <c r="U41" s="63"/>
      <c r="V41" s="63"/>
      <c r="W41" s="63"/>
      <c r="X41" s="63"/>
      <c r="Y41" s="63"/>
      <c r="Z41" s="64"/>
    </row>
    <row r="42" spans="2:26" x14ac:dyDescent="0.25">
      <c r="B42" s="54" t="s">
        <v>95</v>
      </c>
      <c r="C42" s="157">
        <v>30</v>
      </c>
      <c r="D42" s="16" t="s">
        <v>67</v>
      </c>
      <c r="E42" s="16" t="s">
        <v>69</v>
      </c>
      <c r="F42" s="31" t="s">
        <v>68</v>
      </c>
      <c r="H42" s="54" t="s">
        <v>95</v>
      </c>
      <c r="I42" s="55">
        <v>33</v>
      </c>
      <c r="J42" s="16" t="s">
        <v>67</v>
      </c>
      <c r="K42" s="16" t="s">
        <v>69</v>
      </c>
      <c r="L42" s="31" t="s">
        <v>68</v>
      </c>
      <c r="N42" s="65" t="s">
        <v>53</v>
      </c>
      <c r="O42" s="2" t="s">
        <v>48</v>
      </c>
      <c r="P42" s="2" t="s">
        <v>177</v>
      </c>
      <c r="Q42" s="66" t="s">
        <v>54</v>
      </c>
      <c r="R42" s="66" t="s">
        <v>58</v>
      </c>
      <c r="S42" s="67" t="s">
        <v>62</v>
      </c>
      <c r="T42" s="66" t="s">
        <v>57</v>
      </c>
      <c r="U42" s="66" t="s">
        <v>59</v>
      </c>
      <c r="V42" s="66" t="s">
        <v>61</v>
      </c>
      <c r="W42" s="66" t="s">
        <v>63</v>
      </c>
      <c r="X42" s="66" t="s">
        <v>25</v>
      </c>
      <c r="Y42" s="66" t="s">
        <v>55</v>
      </c>
      <c r="Z42" s="68" t="s">
        <v>64</v>
      </c>
    </row>
    <row r="43" spans="2:26" x14ac:dyDescent="0.25">
      <c r="B43" s="178" t="s">
        <v>93</v>
      </c>
      <c r="C43" s="56" t="s">
        <v>96</v>
      </c>
      <c r="D43" s="103">
        <v>0</v>
      </c>
      <c r="E43" s="160">
        <v>39.89</v>
      </c>
      <c r="F43" s="155">
        <v>0</v>
      </c>
      <c r="H43" s="178" t="s">
        <v>93</v>
      </c>
      <c r="I43" s="56" t="s">
        <v>96</v>
      </c>
      <c r="J43" s="103">
        <v>0</v>
      </c>
      <c r="K43" s="160">
        <v>39.89</v>
      </c>
      <c r="L43" s="155">
        <v>0</v>
      </c>
      <c r="N43" s="73" t="str">
        <f>'Cross Sections and Materials'!C13</f>
        <v>CHS 193.7x6</v>
      </c>
      <c r="O43" s="103">
        <v>350</v>
      </c>
      <c r="P43" s="103">
        <v>700</v>
      </c>
      <c r="Q43" s="17">
        <f>'Cross Sections and Materials'!F13</f>
        <v>35.380000000000003</v>
      </c>
      <c r="R43" s="17">
        <f>'Cross Sections and Materials'!G13</f>
        <v>6.64</v>
      </c>
      <c r="S43" s="17">
        <f>'Cross Sections and Materials'!I13</f>
        <v>0.49</v>
      </c>
      <c r="T43" s="8">
        <f>SQRT(O43^2+P43^2)</f>
        <v>782.62379212492635</v>
      </c>
      <c r="U43" s="5">
        <f>0.8*T43</f>
        <v>626.09903369994117</v>
      </c>
      <c r="V43" s="9">
        <f>U43/R43/$C$6</f>
        <v>1.0041749004002289</v>
      </c>
      <c r="W43" s="6">
        <f>0.5*(1+S43*(V43-0.2)+V43^2)</f>
        <v>1.2012064658949608</v>
      </c>
      <c r="X43" s="9">
        <f>MIN(1/(W43+SQRT(W43^2-V43^2)), 1)</f>
        <v>0.53752020966438308</v>
      </c>
      <c r="Y43" s="5">
        <f>Q43*$C$3/$C$4</f>
        <v>831.43000000000006</v>
      </c>
      <c r="Z43" s="59">
        <f>X43*Q43*$C$3/$C$5</f>
        <v>406.28220720114365</v>
      </c>
    </row>
    <row r="44" spans="2:26" x14ac:dyDescent="0.25">
      <c r="B44" s="178"/>
      <c r="C44" s="56" t="s">
        <v>87</v>
      </c>
      <c r="D44" s="103">
        <v>0</v>
      </c>
      <c r="E44" s="160">
        <v>-87.26</v>
      </c>
      <c r="F44" s="155">
        <v>0</v>
      </c>
      <c r="H44" s="178"/>
      <c r="I44" s="56" t="s">
        <v>87</v>
      </c>
      <c r="J44" s="103">
        <v>0</v>
      </c>
      <c r="K44" s="160">
        <v>86.42</v>
      </c>
      <c r="L44" s="155">
        <v>0</v>
      </c>
      <c r="N44" s="20"/>
      <c r="Z44" s="21"/>
    </row>
    <row r="45" spans="2:26" x14ac:dyDescent="0.25">
      <c r="B45" s="178"/>
      <c r="C45" s="56" t="s">
        <v>88</v>
      </c>
      <c r="D45" s="4"/>
      <c r="E45" s="4"/>
      <c r="F45" s="46"/>
      <c r="H45" s="178"/>
      <c r="I45" s="56" t="s">
        <v>88</v>
      </c>
      <c r="J45" s="4"/>
      <c r="K45" s="4"/>
      <c r="L45" s="46"/>
      <c r="N45" s="20"/>
      <c r="O45" s="181" t="s">
        <v>173</v>
      </c>
      <c r="P45" s="181"/>
      <c r="Q45" s="181"/>
      <c r="S45" s="181" t="s">
        <v>174</v>
      </c>
      <c r="T45" s="181"/>
      <c r="U45" s="181"/>
      <c r="Z45" s="21"/>
    </row>
    <row r="46" spans="2:26" x14ac:dyDescent="0.25">
      <c r="B46" s="179"/>
      <c r="C46" s="57" t="s">
        <v>97</v>
      </c>
      <c r="D46" s="43">
        <f>SUM(D43:D45)</f>
        <v>0</v>
      </c>
      <c r="E46" s="44">
        <f t="shared" ref="E46:F46" si="7">SUM(E43:E45)</f>
        <v>-47.370000000000005</v>
      </c>
      <c r="F46" s="47">
        <f t="shared" si="7"/>
        <v>0</v>
      </c>
      <c r="H46" s="179"/>
      <c r="I46" s="57" t="s">
        <v>97</v>
      </c>
      <c r="J46" s="43">
        <f>SUM(J43:J45)</f>
        <v>0</v>
      </c>
      <c r="K46" s="44">
        <f t="shared" ref="K46:L46" si="8">SUM(K43:K45)</f>
        <v>126.31</v>
      </c>
      <c r="L46" s="47">
        <f t="shared" si="8"/>
        <v>0</v>
      </c>
      <c r="N46" s="20"/>
      <c r="O46" s="2" t="s">
        <v>69</v>
      </c>
      <c r="P46" s="14" t="s">
        <v>56</v>
      </c>
      <c r="S46" s="2" t="s">
        <v>69</v>
      </c>
      <c r="T46" s="14" t="s">
        <v>56</v>
      </c>
      <c r="Z46" s="21"/>
    </row>
    <row r="47" spans="2:26" x14ac:dyDescent="0.25">
      <c r="B47" s="41"/>
      <c r="F47" s="21"/>
      <c r="H47" s="41"/>
      <c r="L47" s="21"/>
      <c r="N47" s="23" t="s">
        <v>93</v>
      </c>
      <c r="O47" s="77">
        <f>K46</f>
        <v>126.31</v>
      </c>
      <c r="P47" s="9">
        <f>O47/$Z$43</f>
        <v>0.31089227576600714</v>
      </c>
      <c r="Q47" s="2" t="str">
        <f>IF(P47&lt;1,"OK!","NG!")</f>
        <v>OK!</v>
      </c>
      <c r="S47" s="6">
        <f>ABS(MIN(E46,0))</f>
        <v>47.370000000000005</v>
      </c>
      <c r="T47" s="9">
        <f>S47/$Y$43</f>
        <v>5.6974128910431424E-2</v>
      </c>
      <c r="U47" s="2" t="str">
        <f>IF(T47&lt;1,"OK!","NG!")</f>
        <v>OK!</v>
      </c>
      <c r="Z47" s="21"/>
    </row>
    <row r="48" spans="2:26" ht="15.75" thickBot="1" x14ac:dyDescent="0.3">
      <c r="B48" s="54" t="s">
        <v>95</v>
      </c>
      <c r="C48" s="157">
        <v>30</v>
      </c>
      <c r="D48" s="74" t="s">
        <v>67</v>
      </c>
      <c r="E48" s="45" t="s">
        <v>69</v>
      </c>
      <c r="F48" s="48" t="s">
        <v>68</v>
      </c>
      <c r="H48" s="54" t="s">
        <v>95</v>
      </c>
      <c r="I48" s="55">
        <v>33</v>
      </c>
      <c r="J48" s="74" t="s">
        <v>67</v>
      </c>
      <c r="K48" s="45" t="s">
        <v>69</v>
      </c>
      <c r="L48" s="48" t="s">
        <v>68</v>
      </c>
      <c r="N48" s="50" t="s">
        <v>94</v>
      </c>
      <c r="O48" s="78">
        <f>K52</f>
        <v>179.96</v>
      </c>
      <c r="P48" s="25">
        <f>O48/$Z$43</f>
        <v>0.44294334531589458</v>
      </c>
      <c r="Q48" s="61" t="str">
        <f>IF(P48&lt;1,"OK!","NG!")</f>
        <v>OK!</v>
      </c>
      <c r="R48" s="26"/>
      <c r="S48" s="79">
        <f>ABS(MIN(E52,0))</f>
        <v>107.94</v>
      </c>
      <c r="T48" s="25">
        <f>S48/$Y$43</f>
        <v>0.12982451920185703</v>
      </c>
      <c r="U48" s="61" t="str">
        <f>IF(T48&lt;1,"OK!","NG!")</f>
        <v>OK!</v>
      </c>
      <c r="V48" s="26"/>
      <c r="W48" s="26"/>
      <c r="X48" s="26"/>
      <c r="Y48" s="26"/>
      <c r="Z48" s="27"/>
    </row>
    <row r="49" spans="2:26" x14ac:dyDescent="0.25">
      <c r="B49" s="178" t="s">
        <v>94</v>
      </c>
      <c r="C49" s="56" t="s">
        <v>96</v>
      </c>
      <c r="D49" s="103">
        <v>0</v>
      </c>
      <c r="E49" s="160">
        <v>36.659999999999997</v>
      </c>
      <c r="F49" s="155">
        <v>0</v>
      </c>
      <c r="H49" s="178" t="s">
        <v>94</v>
      </c>
      <c r="I49" s="56" t="s">
        <v>96</v>
      </c>
      <c r="J49" s="103">
        <v>0</v>
      </c>
      <c r="K49" s="160">
        <v>36.659999999999997</v>
      </c>
      <c r="L49" s="155">
        <v>0</v>
      </c>
    </row>
    <row r="50" spans="2:26" x14ac:dyDescent="0.25">
      <c r="B50" s="178"/>
      <c r="C50" s="56" t="s">
        <v>87</v>
      </c>
      <c r="D50" s="103">
        <v>0</v>
      </c>
      <c r="E50" s="160">
        <v>-144.6</v>
      </c>
      <c r="F50" s="155">
        <v>0</v>
      </c>
      <c r="H50" s="178"/>
      <c r="I50" s="56" t="s">
        <v>87</v>
      </c>
      <c r="J50" s="103">
        <v>0</v>
      </c>
      <c r="K50" s="160">
        <v>143.30000000000001</v>
      </c>
      <c r="L50" s="155">
        <v>0</v>
      </c>
      <c r="N50" t="s">
        <v>178</v>
      </c>
    </row>
    <row r="51" spans="2:26" x14ac:dyDescent="0.25">
      <c r="B51" s="178"/>
      <c r="C51" s="56" t="s">
        <v>88</v>
      </c>
      <c r="D51" s="4"/>
      <c r="E51" s="4"/>
      <c r="F51" s="46"/>
      <c r="H51" s="178"/>
      <c r="I51" s="56" t="s">
        <v>88</v>
      </c>
      <c r="J51" s="4"/>
      <c r="K51" s="4"/>
      <c r="L51" s="46"/>
    </row>
    <row r="52" spans="2:26" ht="15.75" thickBot="1" x14ac:dyDescent="0.3">
      <c r="B52" s="180"/>
      <c r="C52" s="58" t="s">
        <v>97</v>
      </c>
      <c r="D52" s="35">
        <f>SUM(D49:D51)</f>
        <v>0</v>
      </c>
      <c r="E52" s="42">
        <f t="shared" ref="E52:F52" si="9">SUM(E49:E51)</f>
        <v>-107.94</v>
      </c>
      <c r="F52" s="36">
        <f t="shared" si="9"/>
        <v>0</v>
      </c>
      <c r="H52" s="180"/>
      <c r="I52" s="58" t="s">
        <v>97</v>
      </c>
      <c r="J52" s="35">
        <f>SUM(J49:J51)</f>
        <v>0</v>
      </c>
      <c r="K52" s="42">
        <f t="shared" ref="K52:L52" si="10">SUM(K49:K51)</f>
        <v>179.96</v>
      </c>
      <c r="L52" s="36">
        <f t="shared" si="10"/>
        <v>0</v>
      </c>
    </row>
    <row r="54" spans="2:26" x14ac:dyDescent="0.25">
      <c r="B54" s="10" t="s">
        <v>181</v>
      </c>
      <c r="D54" s="4"/>
      <c r="G54" s="5"/>
      <c r="H54" s="5"/>
      <c r="I54" s="8"/>
      <c r="J54" s="5"/>
      <c r="K54" s="9"/>
      <c r="L54" s="6"/>
      <c r="M54" s="9"/>
    </row>
    <row r="55" spans="2:26" ht="15.75" thickBot="1" x14ac:dyDescent="0.3">
      <c r="B55" s="10"/>
      <c r="D55" s="4"/>
      <c r="E55" s="2"/>
      <c r="F55" s="2"/>
      <c r="G55" s="2"/>
      <c r="H55" s="14"/>
      <c r="J55" s="5"/>
      <c r="K55" s="9"/>
      <c r="L55" s="6"/>
      <c r="M55" s="9"/>
    </row>
    <row r="56" spans="2:26" x14ac:dyDescent="0.25">
      <c r="B56" s="28" t="s">
        <v>166</v>
      </c>
      <c r="C56" s="37"/>
      <c r="D56" s="69" t="s">
        <v>175</v>
      </c>
      <c r="E56" s="69"/>
      <c r="F56" s="70"/>
      <c r="H56" s="28" t="s">
        <v>166</v>
      </c>
      <c r="I56" s="37"/>
      <c r="J56" s="148" t="s">
        <v>176</v>
      </c>
      <c r="K56" s="148"/>
      <c r="L56" s="149"/>
      <c r="N56" s="62" t="s">
        <v>167</v>
      </c>
      <c r="O56" s="37"/>
      <c r="P56" s="37"/>
      <c r="Q56" s="63"/>
      <c r="R56" s="63"/>
      <c r="S56" s="63"/>
      <c r="T56" s="63"/>
      <c r="U56" s="63"/>
      <c r="V56" s="63"/>
      <c r="W56" s="63"/>
      <c r="X56" s="63"/>
      <c r="Y56" s="63"/>
      <c r="Z56" s="64"/>
    </row>
    <row r="57" spans="2:26" x14ac:dyDescent="0.25">
      <c r="B57" s="54" t="s">
        <v>95</v>
      </c>
      <c r="C57" s="157">
        <v>31</v>
      </c>
      <c r="D57" s="16" t="s">
        <v>67</v>
      </c>
      <c r="E57" s="16" t="s">
        <v>69</v>
      </c>
      <c r="F57" s="31" t="s">
        <v>68</v>
      </c>
      <c r="H57" s="54" t="s">
        <v>95</v>
      </c>
      <c r="I57" s="157">
        <v>34</v>
      </c>
      <c r="J57" s="16" t="s">
        <v>67</v>
      </c>
      <c r="K57" s="16" t="s">
        <v>69</v>
      </c>
      <c r="L57" s="31" t="s">
        <v>68</v>
      </c>
      <c r="N57" s="65" t="s">
        <v>53</v>
      </c>
      <c r="O57" s="2" t="s">
        <v>48</v>
      </c>
      <c r="P57" s="2" t="s">
        <v>177</v>
      </c>
      <c r="Q57" s="66" t="s">
        <v>54</v>
      </c>
      <c r="R57" s="66" t="s">
        <v>58</v>
      </c>
      <c r="S57" s="67" t="s">
        <v>62</v>
      </c>
      <c r="T57" s="66" t="s">
        <v>57</v>
      </c>
      <c r="U57" s="66" t="s">
        <v>59</v>
      </c>
      <c r="V57" s="66" t="s">
        <v>61</v>
      </c>
      <c r="W57" s="66" t="s">
        <v>63</v>
      </c>
      <c r="X57" s="66" t="s">
        <v>25</v>
      </c>
      <c r="Y57" s="66" t="s">
        <v>55</v>
      </c>
      <c r="Z57" s="68" t="s">
        <v>64</v>
      </c>
    </row>
    <row r="58" spans="2:26" x14ac:dyDescent="0.25">
      <c r="B58" s="178" t="s">
        <v>93</v>
      </c>
      <c r="C58" s="56" t="s">
        <v>96</v>
      </c>
      <c r="D58" s="103">
        <v>0</v>
      </c>
      <c r="E58" s="160">
        <v>39.03</v>
      </c>
      <c r="F58" s="155">
        <v>0</v>
      </c>
      <c r="H58" s="178" t="s">
        <v>93</v>
      </c>
      <c r="I58" s="56" t="s">
        <v>96</v>
      </c>
      <c r="J58" s="103">
        <v>0</v>
      </c>
      <c r="K58" s="160">
        <v>39.03</v>
      </c>
      <c r="L58" s="155">
        <v>0</v>
      </c>
      <c r="N58" s="75" t="str">
        <f>'Cross Sections and Materials'!C14</f>
        <v>CHS 193.7x6</v>
      </c>
      <c r="O58" s="103">
        <v>350</v>
      </c>
      <c r="P58" s="103">
        <v>700</v>
      </c>
      <c r="Q58" s="76">
        <f>'Cross Sections and Materials'!F14</f>
        <v>35.380000000000003</v>
      </c>
      <c r="R58" s="76">
        <f>'Cross Sections and Materials'!G14</f>
        <v>6.64</v>
      </c>
      <c r="S58" s="76">
        <f>'Cross Sections and Materials'!I14</f>
        <v>0.49</v>
      </c>
      <c r="T58" s="8">
        <f>SQRT(O58^2+P58^2)</f>
        <v>782.62379212492635</v>
      </c>
      <c r="U58" s="5">
        <f>0.8*T58</f>
        <v>626.09903369994117</v>
      </c>
      <c r="V58" s="9">
        <f>U58/R58/$C$6</f>
        <v>1.0041749004002289</v>
      </c>
      <c r="W58" s="6">
        <f>0.5*(1+S58*(V58-0.2)+V58^2)</f>
        <v>1.2012064658949608</v>
      </c>
      <c r="X58" s="9">
        <f>MIN(1/(W58+SQRT(W58^2-V58^2)), 1)</f>
        <v>0.53752020966438308</v>
      </c>
      <c r="Y58" s="5">
        <f>Q58*$C$3/$C$4</f>
        <v>831.43000000000006</v>
      </c>
      <c r="Z58" s="59">
        <f>X58*Q58*$C$3/$C$5</f>
        <v>406.28220720114365</v>
      </c>
    </row>
    <row r="59" spans="2:26" x14ac:dyDescent="0.25">
      <c r="B59" s="178"/>
      <c r="C59" s="56" t="s">
        <v>87</v>
      </c>
      <c r="D59" s="103">
        <v>0</v>
      </c>
      <c r="E59" s="160">
        <v>-67.430000000000007</v>
      </c>
      <c r="F59" s="155">
        <v>0</v>
      </c>
      <c r="H59" s="178"/>
      <c r="I59" s="56" t="s">
        <v>87</v>
      </c>
      <c r="J59" s="103">
        <v>0</v>
      </c>
      <c r="K59" s="160">
        <v>68.59</v>
      </c>
      <c r="L59" s="155">
        <v>0</v>
      </c>
      <c r="N59" s="20"/>
      <c r="Z59" s="21"/>
    </row>
    <row r="60" spans="2:26" x14ac:dyDescent="0.25">
      <c r="B60" s="178"/>
      <c r="C60" s="56" t="s">
        <v>88</v>
      </c>
      <c r="D60" s="4"/>
      <c r="E60" s="4"/>
      <c r="F60" s="46"/>
      <c r="H60" s="178"/>
      <c r="I60" s="56" t="s">
        <v>88</v>
      </c>
      <c r="J60" s="4"/>
      <c r="K60" s="4"/>
      <c r="L60" s="46"/>
      <c r="N60" s="20"/>
      <c r="O60" s="181" t="s">
        <v>173</v>
      </c>
      <c r="P60" s="181"/>
      <c r="Q60" s="181"/>
      <c r="S60" s="181" t="s">
        <v>174</v>
      </c>
      <c r="T60" s="181"/>
      <c r="U60" s="181"/>
      <c r="Z60" s="21"/>
    </row>
    <row r="61" spans="2:26" x14ac:dyDescent="0.25">
      <c r="B61" s="179"/>
      <c r="C61" s="57" t="s">
        <v>97</v>
      </c>
      <c r="D61" s="43">
        <f>SUM(D58:D60)</f>
        <v>0</v>
      </c>
      <c r="E61" s="44">
        <f t="shared" ref="E61:F61" si="11">SUM(E58:E60)</f>
        <v>-28.400000000000006</v>
      </c>
      <c r="F61" s="47">
        <f t="shared" si="11"/>
        <v>0</v>
      </c>
      <c r="H61" s="179"/>
      <c r="I61" s="57" t="s">
        <v>97</v>
      </c>
      <c r="J61" s="43">
        <f>SUM(J58:J60)</f>
        <v>0</v>
      </c>
      <c r="K61" s="44">
        <f t="shared" ref="K61:L61" si="12">SUM(K58:K60)</f>
        <v>107.62</v>
      </c>
      <c r="L61" s="47">
        <f t="shared" si="12"/>
        <v>0</v>
      </c>
      <c r="N61" s="20"/>
      <c r="O61" s="2" t="s">
        <v>69</v>
      </c>
      <c r="P61" s="14" t="s">
        <v>56</v>
      </c>
      <c r="S61" s="2" t="s">
        <v>69</v>
      </c>
      <c r="T61" s="14" t="s">
        <v>56</v>
      </c>
      <c r="Z61" s="21"/>
    </row>
    <row r="62" spans="2:26" x14ac:dyDescent="0.25">
      <c r="B62" s="41"/>
      <c r="F62" s="21"/>
      <c r="H62" s="41"/>
      <c r="L62" s="21"/>
      <c r="N62" s="23" t="s">
        <v>93</v>
      </c>
      <c r="O62" s="77">
        <f>K61</f>
        <v>107.62</v>
      </c>
      <c r="P62" s="9">
        <f>O62/Z58</f>
        <v>0.26488976896475092</v>
      </c>
      <c r="Q62" s="2" t="str">
        <f>IF(P62&lt;1,"OK!","NG!")</f>
        <v>OK!</v>
      </c>
      <c r="S62" s="6">
        <f>ABS(MIN(E61,0))</f>
        <v>28.400000000000006</v>
      </c>
      <c r="T62" s="9">
        <f>S62/Y58</f>
        <v>3.4158016910623867E-2</v>
      </c>
      <c r="U62" s="2" t="str">
        <f>IF(T62&lt;1,"OK!","NG!")</f>
        <v>OK!</v>
      </c>
      <c r="Z62" s="21"/>
    </row>
    <row r="63" spans="2:26" ht="15.75" thickBot="1" x14ac:dyDescent="0.3">
      <c r="B63" s="54" t="s">
        <v>95</v>
      </c>
      <c r="C63" s="157">
        <v>31</v>
      </c>
      <c r="D63" s="74" t="s">
        <v>67</v>
      </c>
      <c r="E63" s="45" t="s">
        <v>69</v>
      </c>
      <c r="F63" s="48" t="s">
        <v>68</v>
      </c>
      <c r="H63" s="54" t="s">
        <v>95</v>
      </c>
      <c r="I63" s="157">
        <v>34</v>
      </c>
      <c r="J63" s="74" t="s">
        <v>67</v>
      </c>
      <c r="K63" s="45" t="s">
        <v>69</v>
      </c>
      <c r="L63" s="48" t="s">
        <v>68</v>
      </c>
      <c r="N63" s="50" t="s">
        <v>94</v>
      </c>
      <c r="O63" s="78">
        <f>K67</f>
        <v>149.61000000000001</v>
      </c>
      <c r="P63" s="25">
        <f>O63/Z58</f>
        <v>0.3682415753095743</v>
      </c>
      <c r="Q63" s="61" t="str">
        <f>IF(P63&lt;1,"OK!","NG!")</f>
        <v>OK!</v>
      </c>
      <c r="R63" s="26"/>
      <c r="S63" s="79">
        <f>ABS(MIN(E67,0))</f>
        <v>75.89</v>
      </c>
      <c r="T63" s="25">
        <f>S63/Y58</f>
        <v>9.1276475469973417E-2</v>
      </c>
      <c r="U63" s="61" t="str">
        <f>IF(T63&lt;1,"OK!","NG!")</f>
        <v>OK!</v>
      </c>
      <c r="V63" s="26"/>
      <c r="W63" s="26"/>
      <c r="X63" s="26"/>
      <c r="Y63" s="26"/>
      <c r="Z63" s="27"/>
    </row>
    <row r="64" spans="2:26" x14ac:dyDescent="0.25">
      <c r="B64" s="178" t="s">
        <v>94</v>
      </c>
      <c r="C64" s="56" t="s">
        <v>96</v>
      </c>
      <c r="D64" s="103">
        <v>0</v>
      </c>
      <c r="E64" s="160">
        <v>35.909999999999997</v>
      </c>
      <c r="F64" s="155">
        <v>0</v>
      </c>
      <c r="H64" s="178" t="s">
        <v>94</v>
      </c>
      <c r="I64" s="56" t="s">
        <v>96</v>
      </c>
      <c r="J64" s="103">
        <v>0</v>
      </c>
      <c r="K64" s="160">
        <v>35.909999999999997</v>
      </c>
      <c r="L64" s="155">
        <v>0</v>
      </c>
    </row>
    <row r="65" spans="2:26" x14ac:dyDescent="0.25">
      <c r="B65" s="178"/>
      <c r="C65" s="56" t="s">
        <v>87</v>
      </c>
      <c r="D65" s="103">
        <v>0</v>
      </c>
      <c r="E65" s="171">
        <v>-111.8</v>
      </c>
      <c r="F65" s="155">
        <v>0</v>
      </c>
      <c r="H65" s="178"/>
      <c r="I65" s="56" t="s">
        <v>87</v>
      </c>
      <c r="J65" s="103">
        <v>0</v>
      </c>
      <c r="K65" s="160">
        <v>113.7</v>
      </c>
      <c r="L65" s="155">
        <v>0</v>
      </c>
      <c r="N65" t="s">
        <v>178</v>
      </c>
    </row>
    <row r="66" spans="2:26" x14ac:dyDescent="0.25">
      <c r="B66" s="178"/>
      <c r="C66" s="56" t="s">
        <v>88</v>
      </c>
      <c r="D66" s="4"/>
      <c r="E66" s="4"/>
      <c r="F66" s="46"/>
      <c r="H66" s="178"/>
      <c r="I66" s="56" t="s">
        <v>88</v>
      </c>
      <c r="J66" s="4"/>
      <c r="K66" s="4"/>
      <c r="L66" s="46"/>
    </row>
    <row r="67" spans="2:26" ht="15.75" thickBot="1" x14ac:dyDescent="0.3">
      <c r="B67" s="180"/>
      <c r="C67" s="58" t="s">
        <v>97</v>
      </c>
      <c r="D67" s="35">
        <f>SUM(D64:D66)</f>
        <v>0</v>
      </c>
      <c r="E67" s="42">
        <f t="shared" ref="E67:F67" si="13">SUM(E64:E66)</f>
        <v>-75.89</v>
      </c>
      <c r="F67" s="36">
        <f t="shared" si="13"/>
        <v>0</v>
      </c>
      <c r="H67" s="180"/>
      <c r="I67" s="58" t="s">
        <v>97</v>
      </c>
      <c r="J67" s="35">
        <f>SUM(J64:J66)</f>
        <v>0</v>
      </c>
      <c r="K67" s="42">
        <f t="shared" ref="K67:L67" si="14">SUM(K64:K66)</f>
        <v>149.61000000000001</v>
      </c>
      <c r="L67" s="36">
        <f t="shared" si="14"/>
        <v>0</v>
      </c>
    </row>
    <row r="69" spans="2:26" x14ac:dyDescent="0.25">
      <c r="B69" s="10" t="s">
        <v>202</v>
      </c>
      <c r="D69" s="4"/>
      <c r="G69" s="5"/>
      <c r="H69" s="5"/>
      <c r="I69" s="8"/>
      <c r="J69" s="5"/>
      <c r="K69" s="9"/>
      <c r="L69" s="6"/>
      <c r="M69" s="9"/>
    </row>
    <row r="70" spans="2:26" ht="15.75" thickBot="1" x14ac:dyDescent="0.3">
      <c r="B70" s="10"/>
      <c r="D70" s="4"/>
      <c r="E70" s="2"/>
      <c r="F70" s="2"/>
      <c r="G70" s="2"/>
      <c r="H70" s="14"/>
      <c r="J70" s="5"/>
      <c r="K70" s="9"/>
      <c r="L70" s="6"/>
      <c r="M70" s="9"/>
    </row>
    <row r="71" spans="2:26" x14ac:dyDescent="0.25">
      <c r="B71" s="28" t="s">
        <v>166</v>
      </c>
      <c r="C71" s="37"/>
      <c r="D71" s="69" t="s">
        <v>175</v>
      </c>
      <c r="E71" s="69"/>
      <c r="F71" s="70"/>
      <c r="H71" s="28" t="s">
        <v>166</v>
      </c>
      <c r="I71" s="37"/>
      <c r="J71" s="176" t="s">
        <v>176</v>
      </c>
      <c r="K71" s="176"/>
      <c r="L71" s="177"/>
      <c r="N71" s="62" t="s">
        <v>167</v>
      </c>
      <c r="O71" s="37"/>
      <c r="P71" s="37"/>
      <c r="Q71" s="63"/>
      <c r="R71" s="63"/>
      <c r="S71" s="63"/>
      <c r="T71" s="63"/>
      <c r="U71" s="63"/>
      <c r="V71" s="63"/>
      <c r="W71" s="63"/>
      <c r="X71" s="63"/>
      <c r="Y71" s="63"/>
      <c r="Z71" s="64"/>
    </row>
    <row r="72" spans="2:26" x14ac:dyDescent="0.25">
      <c r="B72" s="54" t="s">
        <v>95</v>
      </c>
      <c r="C72" s="157">
        <v>32</v>
      </c>
      <c r="D72" s="16" t="s">
        <v>67</v>
      </c>
      <c r="E72" s="16" t="s">
        <v>69</v>
      </c>
      <c r="F72" s="31" t="s">
        <v>68</v>
      </c>
      <c r="H72" s="54" t="s">
        <v>95</v>
      </c>
      <c r="I72" s="157">
        <v>35</v>
      </c>
      <c r="J72" s="16" t="s">
        <v>67</v>
      </c>
      <c r="K72" s="16" t="s">
        <v>69</v>
      </c>
      <c r="L72" s="31" t="s">
        <v>68</v>
      </c>
      <c r="N72" s="65" t="s">
        <v>53</v>
      </c>
      <c r="O72" s="2" t="s">
        <v>48</v>
      </c>
      <c r="P72" s="2" t="s">
        <v>177</v>
      </c>
      <c r="Q72" s="66" t="s">
        <v>54</v>
      </c>
      <c r="R72" s="66" t="s">
        <v>58</v>
      </c>
      <c r="S72" s="67" t="s">
        <v>62</v>
      </c>
      <c r="T72" s="66" t="s">
        <v>57</v>
      </c>
      <c r="U72" s="66" t="s">
        <v>59</v>
      </c>
      <c r="V72" s="66" t="s">
        <v>61</v>
      </c>
      <c r="W72" s="66" t="s">
        <v>63</v>
      </c>
      <c r="X72" s="66" t="s">
        <v>25</v>
      </c>
      <c r="Y72" s="66" t="s">
        <v>55</v>
      </c>
      <c r="Z72" s="68" t="s">
        <v>64</v>
      </c>
    </row>
    <row r="73" spans="2:26" x14ac:dyDescent="0.25">
      <c r="B73" s="178" t="s">
        <v>93</v>
      </c>
      <c r="C73" s="56" t="s">
        <v>96</v>
      </c>
      <c r="D73" s="103">
        <v>0</v>
      </c>
      <c r="E73" s="160">
        <v>38.99</v>
      </c>
      <c r="F73" s="155">
        <v>0</v>
      </c>
      <c r="H73" s="178" t="s">
        <v>93</v>
      </c>
      <c r="I73" s="56" t="s">
        <v>96</v>
      </c>
      <c r="J73" s="103">
        <v>0</v>
      </c>
      <c r="K73" s="160">
        <v>38.99</v>
      </c>
      <c r="L73" s="155">
        <v>0</v>
      </c>
      <c r="N73" s="75" t="str">
        <f>'Cross Sections and Materials'!C15</f>
        <v>CHS 177.8x6.3</v>
      </c>
      <c r="O73" s="103">
        <v>350</v>
      </c>
      <c r="P73" s="103">
        <v>700</v>
      </c>
      <c r="Q73" s="76">
        <f>'Cross Sections and Materials'!F15</f>
        <v>32.380000000000003</v>
      </c>
      <c r="R73" s="76">
        <f>'Cross Sections and Materials'!G15</f>
        <v>6.08</v>
      </c>
      <c r="S73" s="76">
        <f>'Cross Sections and Materials'!I15</f>
        <v>0.49</v>
      </c>
      <c r="T73" s="8">
        <f>SQRT(O73^2+P73^2)</f>
        <v>782.62379212492635</v>
      </c>
      <c r="U73" s="5">
        <f>0.8*T73</f>
        <v>626.09903369994117</v>
      </c>
      <c r="V73" s="9">
        <f>U73/R73/$C$6</f>
        <v>1.0966646938581448</v>
      </c>
      <c r="W73" s="6">
        <f>0.5*(1+S73*(V73-0.2)+V73^2)</f>
        <v>1.3210195753727347</v>
      </c>
      <c r="X73" s="9">
        <f>MIN(1/(W73+SQRT(W73^2-V73^2)), 1)</f>
        <v>0.48602418929728419</v>
      </c>
      <c r="Y73" s="5">
        <f>Q73*$C$3/$C$4</f>
        <v>760.93000000000006</v>
      </c>
      <c r="Z73" s="59">
        <f>X73*Q73*$C$3/$C$5</f>
        <v>336.20944214725682</v>
      </c>
    </row>
    <row r="74" spans="2:26" x14ac:dyDescent="0.25">
      <c r="B74" s="178"/>
      <c r="C74" s="56" t="s">
        <v>87</v>
      </c>
      <c r="D74" s="103">
        <v>0</v>
      </c>
      <c r="E74" s="160">
        <v>-56.11</v>
      </c>
      <c r="F74" s="155">
        <v>0</v>
      </c>
      <c r="H74" s="178"/>
      <c r="I74" s="56" t="s">
        <v>87</v>
      </c>
      <c r="J74" s="103">
        <v>0</v>
      </c>
      <c r="K74" s="160">
        <v>57.65</v>
      </c>
      <c r="L74" s="155">
        <v>0</v>
      </c>
      <c r="N74" s="20"/>
      <c r="Z74" s="21"/>
    </row>
    <row r="75" spans="2:26" x14ac:dyDescent="0.25">
      <c r="B75" s="178"/>
      <c r="C75" s="56" t="s">
        <v>88</v>
      </c>
      <c r="D75" s="4"/>
      <c r="E75" s="4"/>
      <c r="F75" s="46"/>
      <c r="H75" s="178"/>
      <c r="I75" s="56" t="s">
        <v>88</v>
      </c>
      <c r="J75" s="4"/>
      <c r="K75" s="4"/>
      <c r="L75" s="46"/>
      <c r="N75" s="20"/>
      <c r="O75" s="181" t="s">
        <v>173</v>
      </c>
      <c r="P75" s="181"/>
      <c r="Q75" s="181"/>
      <c r="S75" s="181" t="s">
        <v>174</v>
      </c>
      <c r="T75" s="181"/>
      <c r="U75" s="181"/>
      <c r="Z75" s="21"/>
    </row>
    <row r="76" spans="2:26" x14ac:dyDescent="0.25">
      <c r="B76" s="179"/>
      <c r="C76" s="57" t="s">
        <v>97</v>
      </c>
      <c r="D76" s="43">
        <f>SUM(D73:D75)</f>
        <v>0</v>
      </c>
      <c r="E76" s="44">
        <f t="shared" ref="E76:F76" si="15">SUM(E73:E75)</f>
        <v>-17.119999999999997</v>
      </c>
      <c r="F76" s="47">
        <f t="shared" si="15"/>
        <v>0</v>
      </c>
      <c r="H76" s="179"/>
      <c r="I76" s="57" t="s">
        <v>97</v>
      </c>
      <c r="J76" s="43">
        <f>SUM(J73:J75)</f>
        <v>0</v>
      </c>
      <c r="K76" s="44">
        <f t="shared" ref="K76:L76" si="16">SUM(K73:K75)</f>
        <v>96.64</v>
      </c>
      <c r="L76" s="47">
        <f t="shared" si="16"/>
        <v>0</v>
      </c>
      <c r="N76" s="20"/>
      <c r="O76" s="2" t="s">
        <v>69</v>
      </c>
      <c r="P76" s="14" t="s">
        <v>56</v>
      </c>
      <c r="S76" s="2" t="s">
        <v>69</v>
      </c>
      <c r="T76" s="14" t="s">
        <v>56</v>
      </c>
      <c r="Z76" s="21"/>
    </row>
    <row r="77" spans="2:26" x14ac:dyDescent="0.25">
      <c r="B77" s="41"/>
      <c r="F77" s="21"/>
      <c r="H77" s="41"/>
      <c r="L77" s="21"/>
      <c r="N77" s="23" t="s">
        <v>93</v>
      </c>
      <c r="O77" s="77">
        <f>K76</f>
        <v>96.64</v>
      </c>
      <c r="P77" s="9">
        <f>O77/Z73</f>
        <v>0.28743987492675033</v>
      </c>
      <c r="Q77" s="2" t="str">
        <f>IF(P77&lt;1,"OK!","NG!")</f>
        <v>OK!</v>
      </c>
      <c r="S77" s="6">
        <f>ABS(MIN(E76,0))</f>
        <v>17.119999999999997</v>
      </c>
      <c r="T77" s="9">
        <f>S77/Y73</f>
        <v>2.2498784382269061E-2</v>
      </c>
      <c r="U77" s="2" t="str">
        <f>IF(T77&lt;1,"OK!","NG!")</f>
        <v>OK!</v>
      </c>
      <c r="Z77" s="21"/>
    </row>
    <row r="78" spans="2:26" ht="15.75" thickBot="1" x14ac:dyDescent="0.3">
      <c r="B78" s="54" t="s">
        <v>95</v>
      </c>
      <c r="C78" s="157">
        <v>32</v>
      </c>
      <c r="D78" s="74" t="s">
        <v>67</v>
      </c>
      <c r="E78" s="45" t="s">
        <v>69</v>
      </c>
      <c r="F78" s="48" t="s">
        <v>68</v>
      </c>
      <c r="H78" s="54" t="s">
        <v>95</v>
      </c>
      <c r="I78" s="157">
        <v>35</v>
      </c>
      <c r="J78" s="74" t="s">
        <v>67</v>
      </c>
      <c r="K78" s="45" t="s">
        <v>69</v>
      </c>
      <c r="L78" s="48" t="s">
        <v>68</v>
      </c>
      <c r="N78" s="50" t="s">
        <v>94</v>
      </c>
      <c r="O78" s="78">
        <f>K82</f>
        <v>131.48000000000002</v>
      </c>
      <c r="P78" s="25">
        <f>O78/Z73</f>
        <v>0.39106575698850515</v>
      </c>
      <c r="Q78" s="61" t="str">
        <f>IF(P78&lt;1,"OK!","NG!")</f>
        <v>OK!</v>
      </c>
      <c r="R78" s="26"/>
      <c r="S78" s="79">
        <f>ABS(MIN(E82,0))</f>
        <v>57.08</v>
      </c>
      <c r="T78" s="25">
        <f>S78/Y73</f>
        <v>7.5013470358640075E-2</v>
      </c>
      <c r="U78" s="61" t="str">
        <f>IF(T78&lt;1,"OK!","NG!")</f>
        <v>OK!</v>
      </c>
      <c r="V78" s="26"/>
      <c r="W78" s="26"/>
      <c r="X78" s="26"/>
      <c r="Y78" s="26"/>
      <c r="Z78" s="27"/>
    </row>
    <row r="79" spans="2:26" x14ac:dyDescent="0.25">
      <c r="B79" s="178" t="s">
        <v>94</v>
      </c>
      <c r="C79" s="56" t="s">
        <v>96</v>
      </c>
      <c r="D79" s="103">
        <v>0</v>
      </c>
      <c r="E79" s="160">
        <v>35.94</v>
      </c>
      <c r="F79" s="155">
        <v>0</v>
      </c>
      <c r="H79" s="178" t="s">
        <v>94</v>
      </c>
      <c r="I79" s="56" t="s">
        <v>96</v>
      </c>
      <c r="J79" s="103">
        <v>0</v>
      </c>
      <c r="K79" s="160">
        <v>35.94</v>
      </c>
      <c r="L79" s="155">
        <v>0</v>
      </c>
    </row>
    <row r="80" spans="2:26" x14ac:dyDescent="0.25">
      <c r="B80" s="178"/>
      <c r="C80" s="56" t="s">
        <v>87</v>
      </c>
      <c r="D80" s="103">
        <v>0</v>
      </c>
      <c r="E80" s="171">
        <v>-93.02</v>
      </c>
      <c r="F80" s="155">
        <v>0</v>
      </c>
      <c r="H80" s="178"/>
      <c r="I80" s="56" t="s">
        <v>87</v>
      </c>
      <c r="J80" s="103">
        <v>0</v>
      </c>
      <c r="K80" s="160">
        <v>95.54</v>
      </c>
      <c r="L80" s="155">
        <v>0</v>
      </c>
      <c r="N80" t="s">
        <v>178</v>
      </c>
    </row>
    <row r="81" spans="2:12" x14ac:dyDescent="0.25">
      <c r="B81" s="178"/>
      <c r="C81" s="56" t="s">
        <v>88</v>
      </c>
      <c r="D81" s="4"/>
      <c r="E81" s="4"/>
      <c r="F81" s="46"/>
      <c r="H81" s="178"/>
      <c r="I81" s="56" t="s">
        <v>88</v>
      </c>
      <c r="J81" s="4"/>
      <c r="K81" s="4"/>
      <c r="L81" s="46"/>
    </row>
    <row r="82" spans="2:12" ht="15.75" thickBot="1" x14ac:dyDescent="0.3">
      <c r="B82" s="180"/>
      <c r="C82" s="58" t="s">
        <v>97</v>
      </c>
      <c r="D82" s="35">
        <f>SUM(D79:D81)</f>
        <v>0</v>
      </c>
      <c r="E82" s="42">
        <f t="shared" ref="E82:F82" si="17">SUM(E79:E81)</f>
        <v>-57.08</v>
      </c>
      <c r="F82" s="36">
        <f t="shared" si="17"/>
        <v>0</v>
      </c>
      <c r="H82" s="180"/>
      <c r="I82" s="58" t="s">
        <v>97</v>
      </c>
      <c r="J82" s="35">
        <f>SUM(J79:J81)</f>
        <v>0</v>
      </c>
      <c r="K82" s="42">
        <f t="shared" ref="K82:L82" si="18">SUM(K79:K81)</f>
        <v>131.48000000000002</v>
      </c>
      <c r="L82" s="36">
        <f t="shared" si="18"/>
        <v>0</v>
      </c>
    </row>
  </sheetData>
  <mergeCells count="24">
    <mergeCell ref="J71:L71"/>
    <mergeCell ref="B73:B76"/>
    <mergeCell ref="H73:H76"/>
    <mergeCell ref="B79:B82"/>
    <mergeCell ref="H79:H82"/>
    <mergeCell ref="S45:U45"/>
    <mergeCell ref="O60:Q60"/>
    <mergeCell ref="S60:U60"/>
    <mergeCell ref="O75:Q75"/>
    <mergeCell ref="S75:U75"/>
    <mergeCell ref="B58:B61"/>
    <mergeCell ref="H58:H61"/>
    <mergeCell ref="B64:B67"/>
    <mergeCell ref="H64:H67"/>
    <mergeCell ref="O45:Q45"/>
    <mergeCell ref="J41:L41"/>
    <mergeCell ref="H43:H46"/>
    <mergeCell ref="H49:H52"/>
    <mergeCell ref="B19:B22"/>
    <mergeCell ref="B13:B16"/>
    <mergeCell ref="B28:B31"/>
    <mergeCell ref="B34:B37"/>
    <mergeCell ref="B43:B46"/>
    <mergeCell ref="B49:B52"/>
  </mergeCells>
  <conditionalFormatting sqref="K31:K32">
    <cfRule type="cellIs" dxfId="26" priority="22" operator="equal">
      <formula>"NG!"</formula>
    </cfRule>
    <cfRule type="cellIs" dxfId="25" priority="23" operator="equal">
      <formula>"OK..."</formula>
    </cfRule>
    <cfRule type="cellIs" dxfId="24" priority="24" operator="equal">
      <formula>"OK!"</formula>
    </cfRule>
  </conditionalFormatting>
  <conditionalFormatting sqref="P37:P40">
    <cfRule type="cellIs" dxfId="23" priority="28" operator="equal">
      <formula>"NG!"</formula>
    </cfRule>
    <cfRule type="cellIs" dxfId="22" priority="29" operator="equal">
      <formula>"OK..."</formula>
    </cfRule>
    <cfRule type="cellIs" dxfId="21" priority="30" operator="equal">
      <formula>"OK!"</formula>
    </cfRule>
  </conditionalFormatting>
  <conditionalFormatting sqref="Q16:Q17 P24">
    <cfRule type="cellIs" dxfId="20" priority="25" operator="equal">
      <formula>"NG!"</formula>
    </cfRule>
    <cfRule type="cellIs" dxfId="19" priority="26" operator="equal">
      <formula>"OK..."</formula>
    </cfRule>
    <cfRule type="cellIs" dxfId="18" priority="27" operator="equal">
      <formula>"OK!"</formula>
    </cfRule>
  </conditionalFormatting>
  <conditionalFormatting sqref="Q47:Q48">
    <cfRule type="cellIs" dxfId="17" priority="19" operator="equal">
      <formula>"NG!"</formula>
    </cfRule>
    <cfRule type="cellIs" dxfId="16" priority="20" operator="equal">
      <formula>"OK..."</formula>
    </cfRule>
    <cfRule type="cellIs" dxfId="15" priority="21" operator="equal">
      <formula>"OK!"</formula>
    </cfRule>
  </conditionalFormatting>
  <conditionalFormatting sqref="Q62:Q63">
    <cfRule type="cellIs" dxfId="14" priority="10" operator="equal">
      <formula>"NG!"</formula>
    </cfRule>
    <cfRule type="cellIs" dxfId="13" priority="11" operator="equal">
      <formula>"OK..."</formula>
    </cfRule>
    <cfRule type="cellIs" dxfId="12" priority="12" operator="equal">
      <formula>"OK!"</formula>
    </cfRule>
  </conditionalFormatting>
  <conditionalFormatting sqref="Q77:Q78">
    <cfRule type="cellIs" dxfId="11" priority="4" operator="equal">
      <formula>"NG!"</formula>
    </cfRule>
    <cfRule type="cellIs" dxfId="10" priority="5" operator="equal">
      <formula>"OK..."</formula>
    </cfRule>
    <cfRule type="cellIs" dxfId="9" priority="6" operator="equal">
      <formula>"OK!"</formula>
    </cfRule>
  </conditionalFormatting>
  <conditionalFormatting sqref="U47:U48">
    <cfRule type="cellIs" dxfId="8" priority="13" operator="equal">
      <formula>"NG!"</formula>
    </cfRule>
    <cfRule type="cellIs" dxfId="7" priority="14" operator="equal">
      <formula>"OK..."</formula>
    </cfRule>
    <cfRule type="cellIs" dxfId="6" priority="15" operator="equal">
      <formula>"OK!"</formula>
    </cfRule>
  </conditionalFormatting>
  <conditionalFormatting sqref="U62:U63">
    <cfRule type="cellIs" dxfId="5" priority="7" operator="equal">
      <formula>"NG!"</formula>
    </cfRule>
    <cfRule type="cellIs" dxfId="4" priority="8" operator="equal">
      <formula>"OK..."</formula>
    </cfRule>
    <cfRule type="cellIs" dxfId="3" priority="9" operator="equal">
      <formula>"OK!"</formula>
    </cfRule>
  </conditionalFormatting>
  <conditionalFormatting sqref="U77:U78">
    <cfRule type="cellIs" dxfId="2" priority="1" operator="equal">
      <formula>"NG!"</formula>
    </cfRule>
    <cfRule type="cellIs" dxfId="1" priority="2" operator="equal">
      <formula>"OK..."</formula>
    </cfRule>
    <cfRule type="cellIs" dxfId="0" priority="3" operator="equal">
      <formula>"OK!"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142BBD614E004F9123C843775B9053" ma:contentTypeVersion="18" ma:contentTypeDescription="Ein neues Dokument erstellen." ma:contentTypeScope="" ma:versionID="9eba075c07c7b8e10710dbd5a9b10a17">
  <xsd:schema xmlns:xsd="http://www.w3.org/2001/XMLSchema" xmlns:xs="http://www.w3.org/2001/XMLSchema" xmlns:p="http://schemas.microsoft.com/office/2006/metadata/properties" xmlns:ns3="b8438a74-1baf-41ed-a764-db03f5cc8e77" xmlns:ns4="7f27ad31-1248-408e-b004-32fcbe738eec" targetNamespace="http://schemas.microsoft.com/office/2006/metadata/properties" ma:root="true" ma:fieldsID="834b5a3e6853755301f6034dd0745b55" ns3:_="" ns4:_="">
    <xsd:import namespace="b8438a74-1baf-41ed-a764-db03f5cc8e77"/>
    <xsd:import namespace="7f27ad31-1248-408e-b004-32fcbe738e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38a74-1baf-41ed-a764-db03f5cc8e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7ad31-1248-408e-b004-32fcbe738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27ad31-1248-408e-b004-32fcbe738eec" xsi:nil="true"/>
  </documentManagement>
</p:properties>
</file>

<file path=customXml/itemProps1.xml><?xml version="1.0" encoding="utf-8"?>
<ds:datastoreItem xmlns:ds="http://schemas.openxmlformats.org/officeDocument/2006/customXml" ds:itemID="{443AD24C-A69D-4461-98BF-DA2CDE7B3C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32E457-EC4F-4351-9156-7571484AC3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38a74-1baf-41ed-a764-db03f5cc8e77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674E53-2B70-4538-8CB8-7E8A90CFE940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b8438a74-1baf-41ed-a764-db03f5cc8e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5</vt:i4>
      </vt:variant>
    </vt:vector>
  </HeadingPairs>
  <TitlesOfParts>
    <vt:vector size="8" baseType="lpstr">
      <vt:lpstr>Loads</vt:lpstr>
      <vt:lpstr>Cross Sections and Materials</vt:lpstr>
      <vt:lpstr>Nonseismic_Design</vt:lpstr>
      <vt:lpstr>T</vt:lpstr>
      <vt:lpstr>TA</vt:lpstr>
      <vt:lpstr>TB</vt:lpstr>
      <vt:lpstr>TC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2025-03-17T13:50:50Z</dcterms:created>
  <dcterms:modified xsi:type="dcterms:W3CDTF">2025-04-10T12:08:14Z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2025-03-17T14:51:28Z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9b65497b-7d6e-4ee8-8401-d727e2401c15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  <property fmtid="{D5CDD505-2E9C-101B-9397-08002B2CF9AE}" pid="10" name="ContentTypeId">
    <vt:lpwstr>0x01010026142BBD614E004F9123C843775B9053</vt:lpwstr>
  </property>
</Properties>
</file>