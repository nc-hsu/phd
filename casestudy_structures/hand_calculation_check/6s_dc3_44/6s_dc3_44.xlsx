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case_study_hand_calcs/6s_dc3_44/"/>
    </mc:Choice>
  </mc:AlternateContent>
  <xr:revisionPtr revIDLastSave="22" documentId="8_{1A85AEA8-2E7B-41B5-8E04-F6963EA5593C}" xr6:coauthVersionLast="47" xr6:coauthVersionMax="47" xr10:uidLastSave="{D153357C-5479-42F3-B9DD-222CE0C9F260}"/>
  <bookViews>
    <workbookView xWindow="-120" yWindow="-120" windowWidth="29040" windowHeight="15720" activeTab="3" xr2:uid="{7D9295CA-11CB-4DE1-B0A9-DFA242247CEC}"/>
  </bookViews>
  <sheets>
    <sheet name="Loads" sheetId="1" r:id="rId1"/>
    <sheet name="Cross Sections and Materials" sheetId="4" r:id="rId2"/>
    <sheet name="Nonseismic_Design" sheetId="3" r:id="rId3"/>
    <sheet name="CBF_Seismic_Design_Verification" sheetId="2" r:id="rId4"/>
  </sheets>
  <definedNames>
    <definedName name="T">Loads!$C$63</definedName>
    <definedName name="TA">Loads!$C$49</definedName>
    <definedName name="TB">Loads!$C$50</definedName>
    <definedName name="TC">Loads!$C$51</definedName>
    <definedName name="TD">Loads!$C$52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1" l="1"/>
  <c r="N66" i="1"/>
  <c r="C133" i="2" a="1"/>
  <c r="C133" i="2" s="1"/>
  <c r="N117" i="1"/>
  <c r="N118" i="1"/>
  <c r="N119" i="1"/>
  <c r="U28" i="1"/>
  <c r="W145" i="1"/>
  <c r="W146" i="1"/>
  <c r="W147" i="1"/>
  <c r="S145" i="1"/>
  <c r="S146" i="1"/>
  <c r="S147" i="1"/>
  <c r="O145" i="1"/>
  <c r="O146" i="1"/>
  <c r="O147" i="1"/>
  <c r="W131" i="1"/>
  <c r="W132" i="1"/>
  <c r="W133" i="1"/>
  <c r="S131" i="1"/>
  <c r="S132" i="1"/>
  <c r="S133" i="1"/>
  <c r="O131" i="1"/>
  <c r="O132" i="1"/>
  <c r="O133" i="1"/>
  <c r="F257" i="2"/>
  <c r="E257" i="2"/>
  <c r="D257" i="2"/>
  <c r="D245" i="2"/>
  <c r="D195" i="2"/>
  <c r="D179" i="2"/>
  <c r="D188" i="2"/>
  <c r="C190" i="2"/>
  <c r="K190" i="2" s="1"/>
  <c r="D161" i="2"/>
  <c r="D210" i="2"/>
  <c r="D227" i="2"/>
  <c r="D172" i="2"/>
  <c r="C174" i="2"/>
  <c r="K174" i="2" s="1"/>
  <c r="N9" i="4"/>
  <c r="I249" i="2" s="1"/>
  <c r="C59" i="1"/>
  <c r="M5" i="4"/>
  <c r="P30" i="1"/>
  <c r="P31" i="1"/>
  <c r="P32" i="1"/>
  <c r="C8" i="1"/>
  <c r="G111" i="2"/>
  <c r="E37" i="2" s="1"/>
  <c r="T73" i="1"/>
  <c r="M46" i="1"/>
  <c r="R39" i="1"/>
  <c r="G9" i="2"/>
  <c r="G96" i="2" s="1"/>
  <c r="G122" i="2" s="1"/>
  <c r="H9" i="2"/>
  <c r="G10" i="2"/>
  <c r="H10" i="2"/>
  <c r="G11" i="2"/>
  <c r="H11" i="2"/>
  <c r="G12" i="2"/>
  <c r="G99" i="2" s="1"/>
  <c r="G125" i="2" s="1"/>
  <c r="H12" i="2"/>
  <c r="G13" i="2"/>
  <c r="G100" i="2" s="1"/>
  <c r="G126" i="2" s="1"/>
  <c r="H13" i="2"/>
  <c r="G14" i="2"/>
  <c r="H14" i="2"/>
  <c r="G15" i="2"/>
  <c r="G102" i="2" s="1"/>
  <c r="G128" i="2" s="1"/>
  <c r="I128" i="2" s="1"/>
  <c r="G236" i="2" s="1"/>
  <c r="H15" i="2"/>
  <c r="G16" i="2"/>
  <c r="H16" i="2"/>
  <c r="D9" i="2"/>
  <c r="D35" i="2" s="1"/>
  <c r="D10" i="2"/>
  <c r="D36" i="2" s="1"/>
  <c r="D11" i="2"/>
  <c r="D85" i="2" s="1"/>
  <c r="D12" i="2"/>
  <c r="D38" i="2" s="1"/>
  <c r="D13" i="2"/>
  <c r="D126" i="2" s="1"/>
  <c r="D143" i="2" s="1"/>
  <c r="D14" i="2"/>
  <c r="D40" i="2" s="1"/>
  <c r="D15" i="2"/>
  <c r="D16" i="2"/>
  <c r="D42" i="2" s="1"/>
  <c r="H8" i="2"/>
  <c r="G8" i="2"/>
  <c r="D8" i="2"/>
  <c r="D10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48" i="2"/>
  <c r="G48" i="2" s="1"/>
  <c r="D48" i="2"/>
  <c r="D61" i="2" s="1"/>
  <c r="I61" i="2" s="1"/>
  <c r="D49" i="2"/>
  <c r="D62" i="2" s="1"/>
  <c r="I62" i="2" s="1"/>
  <c r="D50" i="2"/>
  <c r="D63" i="2" s="1"/>
  <c r="E98" i="2" s="1"/>
  <c r="D51" i="2"/>
  <c r="D64" i="2" s="1"/>
  <c r="D52" i="2"/>
  <c r="D65" i="2" s="1"/>
  <c r="E100" i="2" s="1"/>
  <c r="D53" i="2"/>
  <c r="D66" i="2" s="1"/>
  <c r="I66" i="2" s="1"/>
  <c r="D54" i="2"/>
  <c r="D67" i="2" s="1"/>
  <c r="D55" i="2"/>
  <c r="D68" i="2" s="1"/>
  <c r="G47" i="2"/>
  <c r="D47" i="2"/>
  <c r="D60" i="2" s="1"/>
  <c r="E61" i="2"/>
  <c r="E62" i="2"/>
  <c r="F63" i="2" s="1"/>
  <c r="E63" i="2"/>
  <c r="F64" i="2" s="1"/>
  <c r="E64" i="2"/>
  <c r="E65" i="2"/>
  <c r="E66" i="2"/>
  <c r="F67" i="2" s="1"/>
  <c r="E67" i="2"/>
  <c r="F68" i="2" s="1"/>
  <c r="E68" i="2"/>
  <c r="E60" i="2"/>
  <c r="G60" i="2" s="1"/>
  <c r="E83" i="2"/>
  <c r="F83" i="2"/>
  <c r="E84" i="2"/>
  <c r="F84" i="2"/>
  <c r="E85" i="2"/>
  <c r="F85" i="2"/>
  <c r="E86" i="2"/>
  <c r="F86" i="2"/>
  <c r="E87" i="2"/>
  <c r="F87" i="2"/>
  <c r="E88" i="2"/>
  <c r="F88" i="2"/>
  <c r="H88" i="2"/>
  <c r="I88" i="2"/>
  <c r="E89" i="2"/>
  <c r="F89" i="2"/>
  <c r="H89" i="2"/>
  <c r="I89" i="2"/>
  <c r="E90" i="2"/>
  <c r="F90" i="2"/>
  <c r="H90" i="2"/>
  <c r="I90" i="2"/>
  <c r="F82" i="2"/>
  <c r="E82" i="2"/>
  <c r="F96" i="2"/>
  <c r="H96" i="2"/>
  <c r="F97" i="2"/>
  <c r="H97" i="2"/>
  <c r="F98" i="2"/>
  <c r="H98" i="2"/>
  <c r="F99" i="2"/>
  <c r="H99" i="2"/>
  <c r="F100" i="2"/>
  <c r="H100" i="2"/>
  <c r="F101" i="2"/>
  <c r="H101" i="2"/>
  <c r="F102" i="2"/>
  <c r="H102" i="2"/>
  <c r="F103" i="2"/>
  <c r="H103" i="2"/>
  <c r="H95" i="2"/>
  <c r="F95" i="2"/>
  <c r="G109" i="2"/>
  <c r="E35" i="2" s="1"/>
  <c r="I109" i="2"/>
  <c r="G110" i="2"/>
  <c r="E36" i="2" s="1"/>
  <c r="I110" i="2"/>
  <c r="I111" i="2"/>
  <c r="G112" i="2"/>
  <c r="I112" i="2"/>
  <c r="G113" i="2"/>
  <c r="I113" i="2"/>
  <c r="G114" i="2"/>
  <c r="I114" i="2"/>
  <c r="G115" i="2"/>
  <c r="E41" i="2" s="1"/>
  <c r="I115" i="2"/>
  <c r="G116" i="2"/>
  <c r="I116" i="2"/>
  <c r="I108" i="2"/>
  <c r="G108" i="2"/>
  <c r="E34" i="2" s="1"/>
  <c r="H122" i="2"/>
  <c r="H123" i="2"/>
  <c r="H124" i="2"/>
  <c r="H125" i="2"/>
  <c r="H126" i="2"/>
  <c r="H127" i="2"/>
  <c r="H128" i="2"/>
  <c r="H129" i="2"/>
  <c r="H121" i="2"/>
  <c r="G27" i="1"/>
  <c r="U29" i="1"/>
  <c r="O61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T99" i="1"/>
  <c r="S99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T86" i="1"/>
  <c r="S86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O74" i="1"/>
  <c r="O87" i="1" s="1"/>
  <c r="O100" i="1" s="1"/>
  <c r="O75" i="1"/>
  <c r="O88" i="1" s="1"/>
  <c r="O101" i="1" s="1"/>
  <c r="O76" i="1"/>
  <c r="O89" i="1" s="1"/>
  <c r="O102" i="1" s="1"/>
  <c r="O77" i="1"/>
  <c r="O90" i="1" s="1"/>
  <c r="O103" i="1" s="1"/>
  <c r="O78" i="1"/>
  <c r="O91" i="1" s="1"/>
  <c r="O104" i="1" s="1"/>
  <c r="O79" i="1"/>
  <c r="O92" i="1" s="1"/>
  <c r="O105" i="1" s="1"/>
  <c r="O80" i="1"/>
  <c r="O93" i="1" s="1"/>
  <c r="O106" i="1" s="1"/>
  <c r="O81" i="1"/>
  <c r="O94" i="1" s="1"/>
  <c r="O107" i="1" s="1"/>
  <c r="S73" i="1"/>
  <c r="O73" i="1"/>
  <c r="O86" i="1" s="1"/>
  <c r="O99" i="1" s="1"/>
  <c r="G24" i="1"/>
  <c r="M111" i="1" s="1"/>
  <c r="N111" i="1" s="1"/>
  <c r="G25" i="1"/>
  <c r="G26" i="1"/>
  <c r="G28" i="1"/>
  <c r="G29" i="1"/>
  <c r="M116" i="1" s="1"/>
  <c r="G30" i="1"/>
  <c r="G31" i="1"/>
  <c r="M118" i="1" s="1"/>
  <c r="G32" i="1"/>
  <c r="M119" i="1" s="1"/>
  <c r="D200" i="2"/>
  <c r="D184" i="2"/>
  <c r="D168" i="2"/>
  <c r="E197" i="2"/>
  <c r="M197" i="2" s="1"/>
  <c r="D197" i="2"/>
  <c r="C197" i="2"/>
  <c r="K197" i="2" s="1"/>
  <c r="E181" i="2"/>
  <c r="M181" i="2" s="1"/>
  <c r="D181" i="2"/>
  <c r="C181" i="2"/>
  <c r="K181" i="2" s="1"/>
  <c r="D249" i="2"/>
  <c r="D6" i="2"/>
  <c r="G249" i="2"/>
  <c r="H249" i="2"/>
  <c r="J249" i="2"/>
  <c r="F249" i="2"/>
  <c r="H223" i="2"/>
  <c r="H240" i="2" s="1"/>
  <c r="G206" i="2"/>
  <c r="G223" i="2" s="1"/>
  <c r="K223" i="2" s="1"/>
  <c r="D190" i="2"/>
  <c r="E190" i="2"/>
  <c r="M190" i="2" s="1"/>
  <c r="E174" i="2"/>
  <c r="M174" i="2" s="1"/>
  <c r="D174" i="2"/>
  <c r="E152" i="2"/>
  <c r="E151" i="2"/>
  <c r="C41" i="1"/>
  <c r="C44" i="1" s="1"/>
  <c r="C38" i="1"/>
  <c r="C42" i="1" s="1"/>
  <c r="C45" i="1" s="1"/>
  <c r="I133" i="2" l="1"/>
  <c r="E133" i="2"/>
  <c r="F133" i="2"/>
  <c r="O118" i="1"/>
  <c r="O119" i="1"/>
  <c r="D103" i="2"/>
  <c r="D220" i="2" s="1"/>
  <c r="D237" i="2" s="1"/>
  <c r="D90" i="2"/>
  <c r="I12" i="2"/>
  <c r="J12" i="2" s="1"/>
  <c r="D123" i="2"/>
  <c r="D140" i="2" s="1"/>
  <c r="D110" i="2"/>
  <c r="D129" i="2"/>
  <c r="D146" i="2" s="1"/>
  <c r="D84" i="2"/>
  <c r="D116" i="2"/>
  <c r="C51" i="1"/>
  <c r="G85" i="2"/>
  <c r="I11" i="2"/>
  <c r="J11" i="2" s="1"/>
  <c r="I14" i="2"/>
  <c r="J14" i="2" s="1"/>
  <c r="G98" i="2"/>
  <c r="G124" i="2" s="1"/>
  <c r="G90" i="2"/>
  <c r="J90" i="2" s="1"/>
  <c r="K90" i="2" s="1"/>
  <c r="G88" i="2"/>
  <c r="J88" i="2" s="1"/>
  <c r="K88" i="2" s="1"/>
  <c r="D124" i="2"/>
  <c r="D141" i="2" s="1"/>
  <c r="D98" i="2"/>
  <c r="D215" i="2" s="1"/>
  <c r="D232" i="2" s="1"/>
  <c r="I16" i="2"/>
  <c r="J16" i="2" s="1"/>
  <c r="I15" i="2"/>
  <c r="J15" i="2" s="1"/>
  <c r="I68" i="2"/>
  <c r="E103" i="2"/>
  <c r="E220" i="2" s="1"/>
  <c r="E237" i="2" s="1"/>
  <c r="D112" i="2"/>
  <c r="G87" i="2"/>
  <c r="G67" i="2"/>
  <c r="D111" i="2"/>
  <c r="G68" i="2"/>
  <c r="D125" i="2"/>
  <c r="D142" i="2" s="1"/>
  <c r="G86" i="2"/>
  <c r="D86" i="2"/>
  <c r="K128" i="2"/>
  <c r="L128" i="2" s="1"/>
  <c r="D97" i="2"/>
  <c r="D214" i="2" s="1"/>
  <c r="D231" i="2" s="1"/>
  <c r="D37" i="2"/>
  <c r="G101" i="2"/>
  <c r="G127" i="2" s="1"/>
  <c r="I127" i="2" s="1"/>
  <c r="G235" i="2" s="1"/>
  <c r="I63" i="2"/>
  <c r="G63" i="2"/>
  <c r="D87" i="2"/>
  <c r="G82" i="2"/>
  <c r="G89" i="2"/>
  <c r="J89" i="2" s="1"/>
  <c r="K89" i="2" s="1"/>
  <c r="D100" i="2"/>
  <c r="D217" i="2" s="1"/>
  <c r="D234" i="2" s="1"/>
  <c r="D121" i="2"/>
  <c r="D138" i="2" s="1"/>
  <c r="D99" i="2"/>
  <c r="D216" i="2" s="1"/>
  <c r="D233" i="2" s="1"/>
  <c r="E99" i="2"/>
  <c r="I64" i="2"/>
  <c r="F66" i="2"/>
  <c r="G66" i="2" s="1"/>
  <c r="J128" i="2"/>
  <c r="I100" i="2"/>
  <c r="E217" i="2"/>
  <c r="E234" i="2" s="1"/>
  <c r="E102" i="2"/>
  <c r="I67" i="2"/>
  <c r="I65" i="2"/>
  <c r="D88" i="2"/>
  <c r="D127" i="2"/>
  <c r="D144" i="2" s="1"/>
  <c r="D101" i="2"/>
  <c r="D218" i="2" s="1"/>
  <c r="D235" i="2" s="1"/>
  <c r="D114" i="2"/>
  <c r="E215" i="2"/>
  <c r="E232" i="2" s="1"/>
  <c r="I98" i="2"/>
  <c r="E28" i="1"/>
  <c r="M115" i="1"/>
  <c r="M114" i="1"/>
  <c r="E27" i="1"/>
  <c r="E31" i="1"/>
  <c r="E42" i="2"/>
  <c r="E101" i="2"/>
  <c r="G64" i="2"/>
  <c r="F65" i="2"/>
  <c r="G65" i="2" s="1"/>
  <c r="M117" i="1"/>
  <c r="O117" i="1" s="1"/>
  <c r="E30" i="1"/>
  <c r="E39" i="2"/>
  <c r="D89" i="2"/>
  <c r="D41" i="2"/>
  <c r="D102" i="2"/>
  <c r="D219" i="2" s="1"/>
  <c r="D236" i="2" s="1"/>
  <c r="D128" i="2"/>
  <c r="D145" i="2" s="1"/>
  <c r="E32" i="1"/>
  <c r="D115" i="2"/>
  <c r="E29" i="1"/>
  <c r="E38" i="2"/>
  <c r="E40" i="2"/>
  <c r="E24" i="1"/>
  <c r="K24" i="1" s="1"/>
  <c r="P24" i="1" s="1"/>
  <c r="D113" i="2"/>
  <c r="D133" i="2" s="1"/>
  <c r="G103" i="2"/>
  <c r="G129" i="2" s="1"/>
  <c r="I129" i="2" s="1"/>
  <c r="E25" i="1"/>
  <c r="I25" i="1" s="1"/>
  <c r="N25" i="1" s="1"/>
  <c r="D39" i="2"/>
  <c r="I13" i="2"/>
  <c r="J13" i="2" s="1"/>
  <c r="D34" i="2"/>
  <c r="D109" i="2"/>
  <c r="F62" i="2"/>
  <c r="G62" i="2" s="1"/>
  <c r="G84" i="2"/>
  <c r="F61" i="2"/>
  <c r="G61" i="2" s="1"/>
  <c r="G83" i="2"/>
  <c r="I8" i="2"/>
  <c r="J8" i="2" s="1"/>
  <c r="I9" i="2"/>
  <c r="J9" i="2" s="1"/>
  <c r="E26" i="1"/>
  <c r="J26" i="1" s="1"/>
  <c r="G95" i="2"/>
  <c r="G121" i="2" s="1"/>
  <c r="I10" i="2"/>
  <c r="J10" i="2" s="1"/>
  <c r="M113" i="1"/>
  <c r="M112" i="1"/>
  <c r="N112" i="1" s="1"/>
  <c r="G97" i="2"/>
  <c r="G123" i="2" s="1"/>
  <c r="D96" i="2"/>
  <c r="D213" i="2" s="1"/>
  <c r="D230" i="2" s="1"/>
  <c r="D122" i="2"/>
  <c r="D139" i="2" s="1"/>
  <c r="D83" i="2"/>
  <c r="D95" i="2"/>
  <c r="D212" i="2" s="1"/>
  <c r="D229" i="2" s="1"/>
  <c r="D82" i="2"/>
  <c r="E97" i="2"/>
  <c r="E214" i="2" s="1"/>
  <c r="E231" i="2" s="1"/>
  <c r="E96" i="2"/>
  <c r="I60" i="2"/>
  <c r="E95" i="2"/>
  <c r="E212" i="2" s="1"/>
  <c r="E229" i="2" s="1"/>
  <c r="R64" i="1"/>
  <c r="G240" i="2"/>
  <c r="N114" i="1" l="1"/>
  <c r="N115" i="1"/>
  <c r="N113" i="1"/>
  <c r="O112" i="1"/>
  <c r="C50" i="1"/>
  <c r="C61" i="1" s="1"/>
  <c r="C60" i="1"/>
  <c r="N116" i="1"/>
  <c r="K240" i="2"/>
  <c r="G257" i="2"/>
  <c r="H257" i="2" s="1"/>
  <c r="G133" i="2"/>
  <c r="K13" i="2"/>
  <c r="L13" i="2" s="1"/>
  <c r="J25" i="1"/>
  <c r="O25" i="1" s="1"/>
  <c r="K12" i="2"/>
  <c r="L12" i="2" s="1"/>
  <c r="O116" i="1"/>
  <c r="O111" i="1"/>
  <c r="O113" i="1"/>
  <c r="O114" i="1"/>
  <c r="O115" i="1"/>
  <c r="K15" i="2"/>
  <c r="L15" i="2" s="1"/>
  <c r="K11" i="2"/>
  <c r="L11" i="2" s="1"/>
  <c r="K16" i="2"/>
  <c r="L16" i="2" s="1"/>
  <c r="I103" i="2"/>
  <c r="F220" i="2" s="1"/>
  <c r="F237" i="2" s="1"/>
  <c r="J127" i="2"/>
  <c r="K127" i="2"/>
  <c r="L127" i="2" s="1"/>
  <c r="K14" i="2"/>
  <c r="L14" i="2" s="1"/>
  <c r="I24" i="1"/>
  <c r="N24" i="1" s="1"/>
  <c r="I26" i="1"/>
  <c r="N26" i="1" s="1"/>
  <c r="J24" i="1"/>
  <c r="O24" i="1" s="1"/>
  <c r="K26" i="1"/>
  <c r="P26" i="1" s="1"/>
  <c r="K25" i="1"/>
  <c r="P25" i="1" s="1"/>
  <c r="G237" i="2"/>
  <c r="J129" i="2"/>
  <c r="I28" i="1"/>
  <c r="J28" i="1"/>
  <c r="K28" i="1"/>
  <c r="P28" i="1" s="1"/>
  <c r="I32" i="1"/>
  <c r="J32" i="1"/>
  <c r="K32" i="1"/>
  <c r="J100" i="2"/>
  <c r="F217" i="2"/>
  <c r="F234" i="2" s="1"/>
  <c r="I29" i="1"/>
  <c r="J29" i="1"/>
  <c r="K29" i="1"/>
  <c r="P29" i="1" s="1"/>
  <c r="I101" i="2"/>
  <c r="E218" i="2"/>
  <c r="E235" i="2" s="1"/>
  <c r="I30" i="1"/>
  <c r="J30" i="1"/>
  <c r="K30" i="1"/>
  <c r="J31" i="1"/>
  <c r="I31" i="1"/>
  <c r="K31" i="1"/>
  <c r="F215" i="2"/>
  <c r="F232" i="2" s="1"/>
  <c r="J98" i="2"/>
  <c r="E219" i="2"/>
  <c r="E236" i="2" s="1"/>
  <c r="I102" i="2"/>
  <c r="J27" i="1"/>
  <c r="K27" i="1"/>
  <c r="P27" i="1" s="1"/>
  <c r="I27" i="1"/>
  <c r="K129" i="2"/>
  <c r="L129" i="2" s="1"/>
  <c r="I99" i="2"/>
  <c r="E216" i="2"/>
  <c r="E233" i="2" s="1"/>
  <c r="K10" i="2"/>
  <c r="L10" i="2" s="1"/>
  <c r="K9" i="2"/>
  <c r="L9" i="2" s="1"/>
  <c r="I97" i="2"/>
  <c r="J97" i="2" s="1"/>
  <c r="I95" i="2"/>
  <c r="I96" i="2"/>
  <c r="E213" i="2"/>
  <c r="E230" i="2" s="1"/>
  <c r="O26" i="1"/>
  <c r="R68" i="1"/>
  <c r="U64" i="1"/>
  <c r="R73" i="3"/>
  <c r="S73" i="3"/>
  <c r="Q73" i="3"/>
  <c r="N73" i="3"/>
  <c r="T73" i="3"/>
  <c r="U73" i="3" s="1"/>
  <c r="L82" i="3"/>
  <c r="K82" i="3"/>
  <c r="O78" i="3" s="1"/>
  <c r="J82" i="3"/>
  <c r="F82" i="3"/>
  <c r="E82" i="3"/>
  <c r="S78" i="3" s="1"/>
  <c r="D82" i="3"/>
  <c r="L76" i="3"/>
  <c r="K76" i="3"/>
  <c r="O77" i="3" s="1"/>
  <c r="J76" i="3"/>
  <c r="F76" i="3"/>
  <c r="E76" i="3"/>
  <c r="S77" i="3" s="1"/>
  <c r="D76" i="3"/>
  <c r="R58" i="3"/>
  <c r="S58" i="3"/>
  <c r="Q58" i="3"/>
  <c r="N58" i="3"/>
  <c r="T58" i="3"/>
  <c r="U58" i="3" s="1"/>
  <c r="L67" i="3"/>
  <c r="K67" i="3"/>
  <c r="O63" i="3" s="1"/>
  <c r="J67" i="3"/>
  <c r="F67" i="3"/>
  <c r="E67" i="3"/>
  <c r="S63" i="3" s="1"/>
  <c r="D67" i="3"/>
  <c r="L61" i="3"/>
  <c r="K61" i="3"/>
  <c r="O62" i="3" s="1"/>
  <c r="J61" i="3"/>
  <c r="F61" i="3"/>
  <c r="E61" i="3"/>
  <c r="S62" i="3" s="1"/>
  <c r="D61" i="3"/>
  <c r="D206" i="2"/>
  <c r="E206" i="2"/>
  <c r="F206" i="2"/>
  <c r="C206" i="2"/>
  <c r="C223" i="2" s="1"/>
  <c r="C240" i="2" s="1"/>
  <c r="C249" i="2" s="1"/>
  <c r="C257" i="2" s="1"/>
  <c r="D78" i="2"/>
  <c r="D76" i="2"/>
  <c r="D77" i="2"/>
  <c r="D75" i="2"/>
  <c r="R43" i="3"/>
  <c r="S43" i="3"/>
  <c r="Q43" i="3"/>
  <c r="N43" i="3"/>
  <c r="C4" i="3"/>
  <c r="C5" i="3"/>
  <c r="C6" i="3"/>
  <c r="C3" i="3"/>
  <c r="N28" i="3"/>
  <c r="J28" i="3"/>
  <c r="K28" i="3"/>
  <c r="I28" i="3"/>
  <c r="H28" i="3"/>
  <c r="E161" i="2"/>
  <c r="E168" i="2" s="1"/>
  <c r="E184" i="2" s="1"/>
  <c r="E200" i="2" s="1"/>
  <c r="F161" i="2"/>
  <c r="G161" i="2"/>
  <c r="H161" i="2"/>
  <c r="I161" i="2"/>
  <c r="J161" i="2"/>
  <c r="C161" i="2"/>
  <c r="J13" i="3"/>
  <c r="K13" i="3"/>
  <c r="L13" i="3"/>
  <c r="M13" i="3"/>
  <c r="N13" i="3"/>
  <c r="O13" i="3"/>
  <c r="I13" i="3"/>
  <c r="H13" i="3"/>
  <c r="T43" i="3"/>
  <c r="U43" i="3" s="1"/>
  <c r="F52" i="3"/>
  <c r="E52" i="3"/>
  <c r="S48" i="3" s="1"/>
  <c r="D52" i="3"/>
  <c r="F46" i="3"/>
  <c r="E46" i="3"/>
  <c r="S47" i="3" s="1"/>
  <c r="D46" i="3"/>
  <c r="L52" i="3"/>
  <c r="K52" i="3"/>
  <c r="O48" i="3" s="1"/>
  <c r="J52" i="3"/>
  <c r="L46" i="3"/>
  <c r="K46" i="3"/>
  <c r="O47" i="3" s="1"/>
  <c r="J46" i="3"/>
  <c r="F37" i="3"/>
  <c r="E37" i="3"/>
  <c r="I32" i="3" s="1"/>
  <c r="D37" i="3"/>
  <c r="F31" i="3"/>
  <c r="E31" i="3"/>
  <c r="I31" i="3" s="1"/>
  <c r="D31" i="3"/>
  <c r="F22" i="3"/>
  <c r="E22" i="3"/>
  <c r="J17" i="3" s="1"/>
  <c r="D22" i="3"/>
  <c r="I17" i="3" s="1"/>
  <c r="E16" i="3"/>
  <c r="J16" i="3" s="1"/>
  <c r="F16" i="3"/>
  <c r="D16" i="3"/>
  <c r="I16" i="3" s="1"/>
  <c r="N61" i="1"/>
  <c r="R41" i="1"/>
  <c r="M61" i="1"/>
  <c r="R40" i="1"/>
  <c r="R38" i="1"/>
  <c r="R37" i="1"/>
  <c r="D19" i="1"/>
  <c r="L24" i="1" s="1"/>
  <c r="F40" i="1" s="1"/>
  <c r="K206" i="2"/>
  <c r="I257" i="2" l="1"/>
  <c r="J95" i="2"/>
  <c r="K95" i="2" s="1"/>
  <c r="L95" i="2" s="1"/>
  <c r="M95" i="2" s="1"/>
  <c r="K100" i="2"/>
  <c r="L100" i="2" s="1"/>
  <c r="M100" i="2" s="1"/>
  <c r="H86" i="2"/>
  <c r="I86" i="2"/>
  <c r="H84" i="2"/>
  <c r="I87" i="2"/>
  <c r="H87" i="2"/>
  <c r="I84" i="2"/>
  <c r="H85" i="2"/>
  <c r="I85" i="2"/>
  <c r="I126" i="2"/>
  <c r="I125" i="2"/>
  <c r="K97" i="2"/>
  <c r="L97" i="2" s="1"/>
  <c r="M97" i="2" s="1"/>
  <c r="K98" i="2"/>
  <c r="H111" i="2" s="1"/>
  <c r="J111" i="2" s="1"/>
  <c r="K111" i="2" s="1"/>
  <c r="L111" i="2" s="1"/>
  <c r="M111" i="2" s="1"/>
  <c r="E141" i="2" s="1"/>
  <c r="I124" i="2"/>
  <c r="I123" i="2"/>
  <c r="H83" i="2"/>
  <c r="I83" i="2"/>
  <c r="H82" i="2"/>
  <c r="I82" i="2"/>
  <c r="I122" i="2"/>
  <c r="I121" i="2"/>
  <c r="H190" i="2" s="1"/>
  <c r="L31" i="1"/>
  <c r="L32" i="1"/>
  <c r="L27" i="1"/>
  <c r="L28" i="1"/>
  <c r="L29" i="1"/>
  <c r="L30" i="1"/>
  <c r="M74" i="1"/>
  <c r="M106" i="1"/>
  <c r="M107" i="1"/>
  <c r="M99" i="1"/>
  <c r="M103" i="1"/>
  <c r="M100" i="1"/>
  <c r="M102" i="1"/>
  <c r="M101" i="1"/>
  <c r="M104" i="1"/>
  <c r="M73" i="1"/>
  <c r="M105" i="1"/>
  <c r="H237" i="2"/>
  <c r="J103" i="2"/>
  <c r="K103" i="2" s="1"/>
  <c r="H116" i="2" s="1"/>
  <c r="J116" i="2" s="1"/>
  <c r="K116" i="2" s="1"/>
  <c r="L116" i="2" s="1"/>
  <c r="F42" i="2" s="1"/>
  <c r="G42" i="2" s="1"/>
  <c r="F214" i="2"/>
  <c r="F231" i="2" s="1"/>
  <c r="O31" i="1"/>
  <c r="M93" i="1"/>
  <c r="O28" i="1"/>
  <c r="M90" i="1"/>
  <c r="F219" i="2"/>
  <c r="F236" i="2" s="1"/>
  <c r="H236" i="2" s="1"/>
  <c r="J102" i="2"/>
  <c r="K102" i="2" s="1"/>
  <c r="N27" i="1"/>
  <c r="M76" i="1"/>
  <c r="M89" i="1"/>
  <c r="O27" i="1"/>
  <c r="O30" i="1"/>
  <c r="M92" i="1"/>
  <c r="N28" i="1"/>
  <c r="M77" i="1"/>
  <c r="N30" i="1"/>
  <c r="M79" i="1"/>
  <c r="O29" i="1"/>
  <c r="M91" i="1"/>
  <c r="M78" i="1"/>
  <c r="N29" i="1"/>
  <c r="J99" i="2"/>
  <c r="K99" i="2" s="1"/>
  <c r="F216" i="2"/>
  <c r="F233" i="2" s="1"/>
  <c r="J101" i="2"/>
  <c r="K101" i="2" s="1"/>
  <c r="F218" i="2"/>
  <c r="F235" i="2" s="1"/>
  <c r="H235" i="2" s="1"/>
  <c r="M94" i="1"/>
  <c r="O32" i="1"/>
  <c r="M80" i="1"/>
  <c r="N31" i="1"/>
  <c r="M81" i="1"/>
  <c r="N32" i="1"/>
  <c r="M75" i="1"/>
  <c r="M88" i="1"/>
  <c r="M86" i="1"/>
  <c r="M87" i="1"/>
  <c r="J96" i="2"/>
  <c r="K96" i="2" s="1"/>
  <c r="F213" i="2"/>
  <c r="F230" i="2" s="1"/>
  <c r="L26" i="1"/>
  <c r="L25" i="1"/>
  <c r="R63" i="1"/>
  <c r="S64" i="1"/>
  <c r="T64" i="1" s="1"/>
  <c r="V64" i="1" s="1"/>
  <c r="S68" i="1"/>
  <c r="T68" i="1" s="1"/>
  <c r="U68" i="1"/>
  <c r="C177" i="2"/>
  <c r="C193" i="2" s="1"/>
  <c r="C168" i="2"/>
  <c r="C184" i="2" s="1"/>
  <c r="C200" i="2" s="1"/>
  <c r="J177" i="2"/>
  <c r="J193" i="2" s="1"/>
  <c r="J168" i="2"/>
  <c r="J184" i="2" s="1"/>
  <c r="J200" i="2" s="1"/>
  <c r="H177" i="2"/>
  <c r="H193" i="2" s="1"/>
  <c r="H168" i="2"/>
  <c r="H184" i="2" s="1"/>
  <c r="H200" i="2" s="1"/>
  <c r="I177" i="2"/>
  <c r="I193" i="2" s="1"/>
  <c r="I168" i="2"/>
  <c r="I184" i="2" s="1"/>
  <c r="I200" i="2" s="1"/>
  <c r="G177" i="2"/>
  <c r="G193" i="2" s="1"/>
  <c r="G168" i="2"/>
  <c r="G184" i="2" s="1"/>
  <c r="G200" i="2" s="1"/>
  <c r="F177" i="2"/>
  <c r="F193" i="2" s="1"/>
  <c r="F168" i="2"/>
  <c r="F184" i="2" s="1"/>
  <c r="F200" i="2" s="1"/>
  <c r="D177" i="2"/>
  <c r="D193" i="2" s="1"/>
  <c r="K17" i="3"/>
  <c r="M17" i="3" s="1"/>
  <c r="F223" i="2"/>
  <c r="F240" i="2" s="1"/>
  <c r="E223" i="2"/>
  <c r="D223" i="2"/>
  <c r="D240" i="2" s="1"/>
  <c r="E177" i="2"/>
  <c r="E193" i="2" s="1"/>
  <c r="Y73" i="3"/>
  <c r="T78" i="3" s="1"/>
  <c r="U78" i="3" s="1"/>
  <c r="V73" i="3"/>
  <c r="W73" i="3" s="1"/>
  <c r="X73" i="3" s="1"/>
  <c r="Z73" i="3" s="1"/>
  <c r="P78" i="3" s="1"/>
  <c r="Q78" i="3" s="1"/>
  <c r="Y43" i="3"/>
  <c r="T48" i="3" s="1"/>
  <c r="U48" i="3" s="1"/>
  <c r="Y58" i="3"/>
  <c r="T63" i="3" s="1"/>
  <c r="U63" i="3" s="1"/>
  <c r="V58" i="3"/>
  <c r="W58" i="3" s="1"/>
  <c r="X58" i="3" s="1"/>
  <c r="Z58" i="3" s="1"/>
  <c r="P62" i="3" s="1"/>
  <c r="L206" i="2"/>
  <c r="M206" i="2" s="1"/>
  <c r="N206" i="2" s="1"/>
  <c r="O206" i="2" s="1"/>
  <c r="V43" i="3"/>
  <c r="W43" i="3" s="1"/>
  <c r="X43" i="3" s="1"/>
  <c r="O28" i="3"/>
  <c r="P28" i="3" s="1"/>
  <c r="O17" i="3"/>
  <c r="O16" i="3"/>
  <c r="K16" i="3"/>
  <c r="M16" i="3" s="1"/>
  <c r="R43" i="1"/>
  <c r="R54" i="1" s="1"/>
  <c r="R55" i="1"/>
  <c r="R56" i="1" s="1"/>
  <c r="R57" i="1" s="1"/>
  <c r="R47" i="1"/>
  <c r="R44" i="1"/>
  <c r="R42" i="1"/>
  <c r="R46" i="1" s="1"/>
  <c r="F212" i="2"/>
  <c r="F229" i="2" s="1"/>
  <c r="J257" i="2" l="1"/>
  <c r="K257" i="2" s="1"/>
  <c r="L257" i="2" s="1"/>
  <c r="E249" i="2"/>
  <c r="G229" i="2"/>
  <c r="H229" i="2" s="1"/>
  <c r="H113" i="2"/>
  <c r="L98" i="2"/>
  <c r="M98" i="2" s="1"/>
  <c r="J86" i="2"/>
  <c r="K86" i="2" s="1"/>
  <c r="J87" i="2"/>
  <c r="K87" i="2" s="1"/>
  <c r="K126" i="2"/>
  <c r="L126" i="2" s="1"/>
  <c r="J126" i="2"/>
  <c r="G234" i="2"/>
  <c r="H234" i="2" s="1"/>
  <c r="J85" i="2"/>
  <c r="K85" i="2" s="1"/>
  <c r="J82" i="2"/>
  <c r="K82" i="2" s="1"/>
  <c r="G231" i="2"/>
  <c r="H231" i="2" s="1"/>
  <c r="K123" i="2"/>
  <c r="L123" i="2" s="1"/>
  <c r="J123" i="2"/>
  <c r="J84" i="2"/>
  <c r="K84" i="2" s="1"/>
  <c r="J124" i="2"/>
  <c r="K124" i="2"/>
  <c r="L124" i="2" s="1"/>
  <c r="G232" i="2"/>
  <c r="H232" i="2" s="1"/>
  <c r="H110" i="2"/>
  <c r="J110" i="2" s="1"/>
  <c r="K110" i="2" s="1"/>
  <c r="L110" i="2" s="1"/>
  <c r="F36" i="2" s="1"/>
  <c r="G36" i="2" s="1"/>
  <c r="K125" i="2"/>
  <c r="L125" i="2" s="1"/>
  <c r="J125" i="2"/>
  <c r="G233" i="2"/>
  <c r="H233" i="2" s="1"/>
  <c r="J83" i="2"/>
  <c r="K83" i="2" s="1"/>
  <c r="K121" i="2"/>
  <c r="J121" i="2"/>
  <c r="K122" i="2"/>
  <c r="L122" i="2" s="1"/>
  <c r="G230" i="2"/>
  <c r="H230" i="2" s="1"/>
  <c r="J122" i="2"/>
  <c r="Q30" i="1"/>
  <c r="F46" i="1"/>
  <c r="F45" i="1"/>
  <c r="Q29" i="1"/>
  <c r="Q28" i="1"/>
  <c r="F44" i="1"/>
  <c r="F43" i="1"/>
  <c r="Q27" i="1"/>
  <c r="F48" i="1"/>
  <c r="Q32" i="1"/>
  <c r="Q31" i="1"/>
  <c r="F47" i="1"/>
  <c r="L103" i="2"/>
  <c r="M103" i="2" s="1"/>
  <c r="N116" i="2"/>
  <c r="O116" i="2" s="1"/>
  <c r="G220" i="2"/>
  <c r="H220" i="2" s="1"/>
  <c r="M116" i="2"/>
  <c r="E146" i="2" s="1"/>
  <c r="H112" i="2"/>
  <c r="J112" i="2" s="1"/>
  <c r="K112" i="2" s="1"/>
  <c r="L112" i="2" s="1"/>
  <c r="N112" i="2" s="1"/>
  <c r="L99" i="2"/>
  <c r="M99" i="2" s="1"/>
  <c r="G215" i="2"/>
  <c r="H215" i="2" s="1"/>
  <c r="F37" i="2"/>
  <c r="G37" i="2" s="1"/>
  <c r="N111" i="2"/>
  <c r="O111" i="2" s="1"/>
  <c r="L101" i="2"/>
  <c r="M101" i="2" s="1"/>
  <c r="H114" i="2"/>
  <c r="J114" i="2" s="1"/>
  <c r="K114" i="2" s="1"/>
  <c r="L114" i="2" s="1"/>
  <c r="L102" i="2"/>
  <c r="M102" i="2" s="1"/>
  <c r="H115" i="2"/>
  <c r="J115" i="2" s="1"/>
  <c r="K115" i="2" s="1"/>
  <c r="L115" i="2" s="1"/>
  <c r="H109" i="2"/>
  <c r="J109" i="2" s="1"/>
  <c r="K109" i="2" s="1"/>
  <c r="L109" i="2" s="1"/>
  <c r="F35" i="2" s="1"/>
  <c r="G35" i="2" s="1"/>
  <c r="L96" i="2"/>
  <c r="M96" i="2" s="1"/>
  <c r="Q25" i="1"/>
  <c r="F41" i="1"/>
  <c r="Q26" i="1"/>
  <c r="F42" i="1"/>
  <c r="Q24" i="1"/>
  <c r="U63" i="1"/>
  <c r="S63" i="1"/>
  <c r="T63" i="1" s="1"/>
  <c r="V68" i="1"/>
  <c r="R53" i="1"/>
  <c r="L223" i="2"/>
  <c r="M223" i="2" s="1"/>
  <c r="N223" i="2" s="1"/>
  <c r="O223" i="2" s="1"/>
  <c r="E240" i="2"/>
  <c r="L240" i="2" s="1"/>
  <c r="M240" i="2" s="1"/>
  <c r="N240" i="2" s="1"/>
  <c r="O240" i="2" s="1"/>
  <c r="T62" i="3"/>
  <c r="U62" i="3" s="1"/>
  <c r="T77" i="3"/>
  <c r="U77" i="3" s="1"/>
  <c r="Q28" i="3"/>
  <c r="R28" i="3" s="1"/>
  <c r="T47" i="3"/>
  <c r="U47" i="3" s="1"/>
  <c r="Z43" i="3"/>
  <c r="P47" i="3" s="1"/>
  <c r="Q47" i="3" s="1"/>
  <c r="P63" i="3"/>
  <c r="Q63" i="3" s="1"/>
  <c r="P77" i="3"/>
  <c r="Q77" i="3" s="1"/>
  <c r="R45" i="1"/>
  <c r="Q62" i="3"/>
  <c r="L16" i="3"/>
  <c r="N16" i="3" s="1"/>
  <c r="P16" i="3" s="1"/>
  <c r="Q16" i="3" s="1"/>
  <c r="L17" i="3"/>
  <c r="N17" i="3" s="1"/>
  <c r="P17" i="3" s="1"/>
  <c r="Q17" i="3" s="1"/>
  <c r="R48" i="1"/>
  <c r="R51" i="1" s="1"/>
  <c r="R49" i="1"/>
  <c r="R50" i="1" s="1"/>
  <c r="R59" i="1"/>
  <c r="F49" i="1" l="1"/>
  <c r="D119" i="2"/>
  <c r="E150" i="2" s="1"/>
  <c r="J206" i="2" s="1"/>
  <c r="L121" i="2"/>
  <c r="I240" i="2"/>
  <c r="J240" i="2" s="1"/>
  <c r="M257" i="2" s="1"/>
  <c r="D259" i="2" s="1"/>
  <c r="D264" i="2" s="1"/>
  <c r="E264" i="2" s="1"/>
  <c r="J113" i="2"/>
  <c r="K113" i="2" s="1"/>
  <c r="H133" i="2"/>
  <c r="M110" i="2"/>
  <c r="N110" i="2"/>
  <c r="O110" i="2" s="1"/>
  <c r="H37" i="2"/>
  <c r="I37" i="2" s="1"/>
  <c r="H36" i="2"/>
  <c r="I36" i="2" s="1"/>
  <c r="I47" i="2"/>
  <c r="I49" i="2"/>
  <c r="I52" i="2"/>
  <c r="I51" i="2"/>
  <c r="I50" i="2"/>
  <c r="I53" i="2"/>
  <c r="I55" i="2"/>
  <c r="I54" i="2"/>
  <c r="G219" i="2"/>
  <c r="H219" i="2" s="1"/>
  <c r="N115" i="2"/>
  <c r="O115" i="2" s="1"/>
  <c r="M115" i="2"/>
  <c r="E145" i="2" s="1"/>
  <c r="F41" i="2"/>
  <c r="G41" i="2" s="1"/>
  <c r="G216" i="2"/>
  <c r="H216" i="2" s="1"/>
  <c r="M112" i="2"/>
  <c r="E142" i="2" s="1"/>
  <c r="O112" i="2"/>
  <c r="F38" i="2"/>
  <c r="G38" i="2" s="1"/>
  <c r="H38" i="2" s="1"/>
  <c r="I38" i="2" s="1"/>
  <c r="G218" i="2"/>
  <c r="H218" i="2" s="1"/>
  <c r="M114" i="2"/>
  <c r="E144" i="2" s="1"/>
  <c r="N114" i="2"/>
  <c r="O114" i="2" s="1"/>
  <c r="F40" i="2"/>
  <c r="G40" i="2" s="1"/>
  <c r="H40" i="2" s="1"/>
  <c r="I40" i="2" s="1"/>
  <c r="I48" i="2"/>
  <c r="G213" i="2"/>
  <c r="H213" i="2" s="1"/>
  <c r="N109" i="2"/>
  <c r="O109" i="2" s="1"/>
  <c r="M109" i="2"/>
  <c r="E139" i="2" s="1"/>
  <c r="H108" i="2"/>
  <c r="J108" i="2" s="1"/>
  <c r="K108" i="2" s="1"/>
  <c r="L108" i="2" s="1"/>
  <c r="H174" i="2" s="1"/>
  <c r="L174" i="2" s="1"/>
  <c r="W64" i="1"/>
  <c r="W68" i="1"/>
  <c r="V63" i="1"/>
  <c r="W63" i="1" s="1"/>
  <c r="D45" i="2"/>
  <c r="J32" i="3"/>
  <c r="K32" i="3" s="1"/>
  <c r="J31" i="3"/>
  <c r="K31" i="3" s="1"/>
  <c r="P48" i="3"/>
  <c r="Q48" i="3" s="1"/>
  <c r="J133" i="2" l="1"/>
  <c r="F34" i="2"/>
  <c r="G34" i="2" s="1"/>
  <c r="H35" i="2" s="1"/>
  <c r="I35" i="2" s="1"/>
  <c r="L113" i="2"/>
  <c r="K133" i="2"/>
  <c r="P115" i="1"/>
  <c r="P116" i="1"/>
  <c r="P117" i="1"/>
  <c r="P112" i="1"/>
  <c r="P118" i="1"/>
  <c r="P119" i="1"/>
  <c r="Q117" i="1"/>
  <c r="P111" i="1"/>
  <c r="Q118" i="1"/>
  <c r="Q119" i="1"/>
  <c r="P113" i="1"/>
  <c r="P114" i="1"/>
  <c r="Q112" i="1"/>
  <c r="Q114" i="1"/>
  <c r="Q113" i="1"/>
  <c r="Q115" i="1"/>
  <c r="Q116" i="1"/>
  <c r="Q111" i="1"/>
  <c r="H41" i="2"/>
  <c r="I41" i="2" s="1"/>
  <c r="H42" i="2"/>
  <c r="I42" i="2" s="1"/>
  <c r="M108" i="2"/>
  <c r="N108" i="2"/>
  <c r="O108" i="2" s="1"/>
  <c r="P240" i="2" l="1"/>
  <c r="D262" i="2" s="1"/>
  <c r="D246" i="2"/>
  <c r="K249" i="2" s="1"/>
  <c r="M249" i="2" s="1"/>
  <c r="H181" i="2"/>
  <c r="L181" i="2" s="1"/>
  <c r="M158" i="2"/>
  <c r="L158" i="2"/>
  <c r="K161" i="2" s="1"/>
  <c r="N113" i="2"/>
  <c r="O113" i="2" s="1"/>
  <c r="L133" i="2"/>
  <c r="G217" i="2"/>
  <c r="H217" i="2" s="1"/>
  <c r="F39" i="2"/>
  <c r="G39" i="2" s="1"/>
  <c r="H39" i="2" s="1"/>
  <c r="I39" i="2" s="1"/>
  <c r="M113" i="2"/>
  <c r="E143" i="2" s="1"/>
  <c r="H197" i="2"/>
  <c r="L197" i="2" s="1"/>
  <c r="O200" i="2" s="1"/>
  <c r="G212" i="2"/>
  <c r="H212" i="2" s="1"/>
  <c r="K158" i="2"/>
  <c r="M165" i="2"/>
  <c r="L165" i="2"/>
  <c r="K165" i="2"/>
  <c r="P206" i="2"/>
  <c r="Q206" i="2" s="1"/>
  <c r="E138" i="2"/>
  <c r="C10" i="1"/>
  <c r="M133" i="2" l="1"/>
  <c r="N133" i="2" s="1"/>
  <c r="D261" i="2"/>
  <c r="D265" i="2" s="1"/>
  <c r="E265" i="2" s="1"/>
  <c r="D260" i="2"/>
  <c r="Q240" i="2"/>
  <c r="L249" i="2"/>
  <c r="N249" i="2" s="1"/>
  <c r="P249" i="2" s="1"/>
  <c r="N102" i="1"/>
  <c r="N107" i="1"/>
  <c r="N103" i="1"/>
  <c r="N106" i="1"/>
  <c r="N105" i="1"/>
  <c r="N81" i="1"/>
  <c r="N104" i="1"/>
  <c r="N78" i="1"/>
  <c r="N89" i="1"/>
  <c r="N93" i="1"/>
  <c r="N79" i="1"/>
  <c r="N91" i="1"/>
  <c r="N76" i="1"/>
  <c r="N92" i="1"/>
  <c r="N94" i="1"/>
  <c r="N90" i="1"/>
  <c r="N77" i="1"/>
  <c r="N80" i="1"/>
  <c r="G46" i="1"/>
  <c r="G43" i="1"/>
  <c r="G44" i="1"/>
  <c r="G47" i="1"/>
  <c r="G48" i="1"/>
  <c r="G45" i="1"/>
  <c r="N101" i="1"/>
  <c r="N74" i="1"/>
  <c r="N75" i="1"/>
  <c r="N100" i="1"/>
  <c r="N87" i="1"/>
  <c r="N86" i="1"/>
  <c r="N88" i="1"/>
  <c r="N99" i="1"/>
  <c r="N73" i="1"/>
  <c r="V73" i="1" s="1"/>
  <c r="K200" i="2"/>
  <c r="M200" i="2" s="1"/>
  <c r="L190" i="2"/>
  <c r="O193" i="2" s="1"/>
  <c r="G40" i="1"/>
  <c r="D21" i="2" s="1"/>
  <c r="G42" i="1"/>
  <c r="G41" i="1"/>
  <c r="O177" i="2"/>
  <c r="O184" i="2"/>
  <c r="K184" i="2"/>
  <c r="O168" i="2"/>
  <c r="K168" i="2"/>
  <c r="O161" i="2"/>
  <c r="O249" i="2"/>
  <c r="M161" i="2"/>
  <c r="L161" i="2"/>
  <c r="C52" i="1"/>
  <c r="N161" i="2" l="1"/>
  <c r="P161" i="2" s="1"/>
  <c r="U93" i="1"/>
  <c r="V93" i="1"/>
  <c r="P93" i="1"/>
  <c r="F58" i="1"/>
  <c r="I45" i="1"/>
  <c r="D26" i="2"/>
  <c r="V91" i="1"/>
  <c r="P91" i="1"/>
  <c r="U91" i="1"/>
  <c r="F61" i="1"/>
  <c r="D29" i="2"/>
  <c r="E29" i="2" s="1"/>
  <c r="F29" i="2" s="1"/>
  <c r="I48" i="1"/>
  <c r="F60" i="1"/>
  <c r="D28" i="2"/>
  <c r="I47" i="1"/>
  <c r="P77" i="1"/>
  <c r="U77" i="1"/>
  <c r="V77" i="1"/>
  <c r="V103" i="1"/>
  <c r="P103" i="1"/>
  <c r="U103" i="1"/>
  <c r="F57" i="1"/>
  <c r="D25" i="2"/>
  <c r="I44" i="1"/>
  <c r="P89" i="1"/>
  <c r="V89" i="1"/>
  <c r="U89" i="1"/>
  <c r="D24" i="2"/>
  <c r="F56" i="1"/>
  <c r="I43" i="1"/>
  <c r="P78" i="1"/>
  <c r="U78" i="1"/>
  <c r="V78" i="1"/>
  <c r="U80" i="1"/>
  <c r="V80" i="1"/>
  <c r="P80" i="1"/>
  <c r="U90" i="1"/>
  <c r="P90" i="1"/>
  <c r="V90" i="1"/>
  <c r="V106" i="1"/>
  <c r="P106" i="1"/>
  <c r="U106" i="1"/>
  <c r="V92" i="1"/>
  <c r="U92" i="1"/>
  <c r="P92" i="1"/>
  <c r="P107" i="1"/>
  <c r="V107" i="1"/>
  <c r="U107" i="1"/>
  <c r="U79" i="1"/>
  <c r="V79" i="1"/>
  <c r="P79" i="1"/>
  <c r="F59" i="1"/>
  <c r="D27" i="2"/>
  <c r="E27" i="2" s="1"/>
  <c r="F27" i="2" s="1"/>
  <c r="I46" i="1"/>
  <c r="U104" i="1"/>
  <c r="V104" i="1"/>
  <c r="P104" i="1"/>
  <c r="V81" i="1"/>
  <c r="P81" i="1"/>
  <c r="U81" i="1"/>
  <c r="P105" i="1"/>
  <c r="U105" i="1"/>
  <c r="V105" i="1"/>
  <c r="P94" i="1"/>
  <c r="V94" i="1"/>
  <c r="U94" i="1"/>
  <c r="V76" i="1"/>
  <c r="P76" i="1"/>
  <c r="U76" i="1"/>
  <c r="P102" i="1"/>
  <c r="U102" i="1"/>
  <c r="V102" i="1"/>
  <c r="U88" i="1"/>
  <c r="V88" i="1"/>
  <c r="P88" i="1"/>
  <c r="V87" i="1"/>
  <c r="U87" i="1"/>
  <c r="P87" i="1"/>
  <c r="P100" i="1"/>
  <c r="V100" i="1"/>
  <c r="U100" i="1"/>
  <c r="U75" i="1"/>
  <c r="V75" i="1"/>
  <c r="P75" i="1"/>
  <c r="P86" i="1"/>
  <c r="U86" i="1"/>
  <c r="V86" i="1"/>
  <c r="I41" i="1"/>
  <c r="D22" i="2"/>
  <c r="E22" i="2" s="1"/>
  <c r="F22" i="2" s="1"/>
  <c r="I42" i="1"/>
  <c r="D23" i="2"/>
  <c r="U74" i="1"/>
  <c r="V74" i="1"/>
  <c r="P74" i="1"/>
  <c r="P101" i="1"/>
  <c r="V101" i="1"/>
  <c r="U101" i="1"/>
  <c r="U73" i="1"/>
  <c r="P73" i="1"/>
  <c r="V99" i="1"/>
  <c r="U99" i="1"/>
  <c r="P99" i="1"/>
  <c r="L200" i="2"/>
  <c r="N200" i="2" s="1"/>
  <c r="P200" i="2" s="1"/>
  <c r="Q200" i="2" s="1"/>
  <c r="K193" i="2"/>
  <c r="L193" i="2" s="1"/>
  <c r="F53" i="1"/>
  <c r="G49" i="1"/>
  <c r="I40" i="1"/>
  <c r="K177" i="2"/>
  <c r="L177" i="2" s="1"/>
  <c r="L184" i="2"/>
  <c r="M184" i="2"/>
  <c r="M168" i="2"/>
  <c r="L168" i="2"/>
  <c r="Q249" i="2"/>
  <c r="G214" i="2"/>
  <c r="H214" i="2" s="1"/>
  <c r="I223" i="2" s="1"/>
  <c r="C69" i="1"/>
  <c r="C64" i="1"/>
  <c r="F55" i="1"/>
  <c r="N168" i="2" l="1"/>
  <c r="P168" i="2" s="1"/>
  <c r="Q168" i="2" s="1"/>
  <c r="E25" i="2"/>
  <c r="F25" i="2" s="1"/>
  <c r="H61" i="1"/>
  <c r="I61" i="1"/>
  <c r="E26" i="2"/>
  <c r="F26" i="2" s="1"/>
  <c r="H56" i="1"/>
  <c r="I56" i="1"/>
  <c r="I59" i="1"/>
  <c r="H59" i="1"/>
  <c r="H58" i="1"/>
  <c r="I58" i="1"/>
  <c r="H57" i="1"/>
  <c r="I57" i="1"/>
  <c r="M66" i="1"/>
  <c r="V95" i="1"/>
  <c r="U95" i="1"/>
  <c r="E28" i="2"/>
  <c r="F28" i="2" s="1"/>
  <c r="I60" i="1"/>
  <c r="H60" i="1"/>
  <c r="U108" i="1"/>
  <c r="V108" i="1"/>
  <c r="H68" i="2"/>
  <c r="J68" i="2" s="1"/>
  <c r="K68" i="2" s="1"/>
  <c r="H67" i="2"/>
  <c r="J67" i="2" s="1"/>
  <c r="K67" i="2" s="1"/>
  <c r="H54" i="2"/>
  <c r="H55" i="2"/>
  <c r="H51" i="2"/>
  <c r="H50" i="2"/>
  <c r="H52" i="2"/>
  <c r="H53" i="2"/>
  <c r="H65" i="2"/>
  <c r="J65" i="2" s="1"/>
  <c r="K65" i="2" s="1"/>
  <c r="H64" i="2"/>
  <c r="J64" i="2" s="1"/>
  <c r="K64" i="2" s="1"/>
  <c r="H63" i="2"/>
  <c r="J63" i="2" s="1"/>
  <c r="K63" i="2" s="1"/>
  <c r="H66" i="2"/>
  <c r="J66" i="2" s="1"/>
  <c r="K66" i="2" s="1"/>
  <c r="E23" i="2"/>
  <c r="F23" i="2" s="1"/>
  <c r="E24" i="2"/>
  <c r="F24" i="2" s="1"/>
  <c r="V82" i="1"/>
  <c r="U82" i="1"/>
  <c r="I49" i="1"/>
  <c r="H47" i="2"/>
  <c r="H48" i="2"/>
  <c r="H49" i="2"/>
  <c r="H60" i="2"/>
  <c r="J60" i="2" s="1"/>
  <c r="K60" i="2" s="1"/>
  <c r="H61" i="2"/>
  <c r="J61" i="2" s="1"/>
  <c r="K61" i="2" s="1"/>
  <c r="H62" i="2"/>
  <c r="J62" i="2" s="1"/>
  <c r="K62" i="2" s="1"/>
  <c r="M193" i="2"/>
  <c r="N193" i="2" s="1"/>
  <c r="P193" i="2" s="1"/>
  <c r="Q193" i="2" s="1"/>
  <c r="I53" i="1"/>
  <c r="H53" i="1"/>
  <c r="H55" i="1"/>
  <c r="I55" i="1"/>
  <c r="N184" i="2"/>
  <c r="P184" i="2" s="1"/>
  <c r="Q184" i="2" s="1"/>
  <c r="M177" i="2"/>
  <c r="N177" i="2" s="1"/>
  <c r="P177" i="2" s="1"/>
  <c r="M67" i="1" l="1"/>
  <c r="N67" i="1"/>
  <c r="O67" i="1"/>
  <c r="D106" i="2"/>
  <c r="E140" i="2"/>
  <c r="Q161" i="2"/>
  <c r="Q177" i="2"/>
  <c r="F54" i="1"/>
  <c r="C65" i="1"/>
  <c r="C66" i="1"/>
  <c r="C70" i="1" s="1"/>
  <c r="J40" i="1" s="1"/>
  <c r="O62" i="1" l="1"/>
  <c r="F139" i="2"/>
  <c r="G139" i="2" s="1"/>
  <c r="F146" i="2"/>
  <c r="G146" i="2" s="1"/>
  <c r="F141" i="2"/>
  <c r="G141" i="2" s="1"/>
  <c r="F143" i="2"/>
  <c r="G143" i="2" s="1"/>
  <c r="F144" i="2"/>
  <c r="G144" i="2" s="1"/>
  <c r="F145" i="2"/>
  <c r="G145" i="2" s="1"/>
  <c r="F142" i="2"/>
  <c r="G142" i="2" s="1"/>
  <c r="O65" i="1"/>
  <c r="O64" i="1" s="1"/>
  <c r="O63" i="1"/>
  <c r="O58" i="1"/>
  <c r="O57" i="1" s="1"/>
  <c r="J48" i="1"/>
  <c r="J43" i="1"/>
  <c r="J45" i="1"/>
  <c r="J46" i="1"/>
  <c r="J47" i="1"/>
  <c r="J44" i="1"/>
  <c r="M62" i="1"/>
  <c r="M58" i="1"/>
  <c r="M57" i="1" s="1"/>
  <c r="M65" i="1"/>
  <c r="M64" i="1" s="1"/>
  <c r="M63" i="1"/>
  <c r="F138" i="2"/>
  <c r="G138" i="2" s="1"/>
  <c r="F140" i="2"/>
  <c r="G140" i="2" s="1"/>
  <c r="N58" i="1"/>
  <c r="N57" i="1" s="1"/>
  <c r="N62" i="1"/>
  <c r="N63" i="1"/>
  <c r="N65" i="1"/>
  <c r="N64" i="1" s="1"/>
  <c r="H54" i="1"/>
  <c r="H62" i="1" s="1"/>
  <c r="I54" i="1"/>
  <c r="J42" i="1"/>
  <c r="J41" i="1"/>
  <c r="J223" i="2"/>
  <c r="P223" i="2" s="1"/>
  <c r="Q223" i="2" s="1"/>
  <c r="C67" i="1"/>
  <c r="O59" i="1" l="1"/>
  <c r="O56" i="1" s="1"/>
  <c r="N59" i="1"/>
  <c r="N56" i="1" s="1"/>
  <c r="I62" i="1"/>
  <c r="F64" i="1" s="1"/>
  <c r="J48" i="2"/>
  <c r="K48" i="2" s="1"/>
  <c r="L48" i="2" s="1"/>
  <c r="J49" i="2"/>
  <c r="K49" i="2" s="1"/>
  <c r="L49" i="2" s="1"/>
  <c r="J54" i="2"/>
  <c r="K54" i="2" s="1"/>
  <c r="L54" i="2" s="1"/>
  <c r="J52" i="2"/>
  <c r="K52" i="2" s="1"/>
  <c r="L52" i="2" s="1"/>
  <c r="J50" i="2"/>
  <c r="K50" i="2" s="1"/>
  <c r="L50" i="2" s="1"/>
  <c r="J55" i="2"/>
  <c r="K55" i="2" s="1"/>
  <c r="L55" i="2" s="1"/>
  <c r="J51" i="2"/>
  <c r="K51" i="2" s="1"/>
  <c r="L51" i="2" s="1"/>
  <c r="J53" i="2"/>
  <c r="K53" i="2" s="1"/>
  <c r="L53" i="2" s="1"/>
  <c r="J47" i="2"/>
  <c r="J49" i="1"/>
  <c r="M59" i="1"/>
  <c r="M56" i="1" s="1"/>
  <c r="M55" i="1" s="1"/>
  <c r="K47" i="2" l="1"/>
  <c r="L47" i="2" s="1"/>
  <c r="O55" i="1"/>
  <c r="O54" i="1" s="1"/>
  <c r="O52" i="1" s="1"/>
  <c r="N55" i="1"/>
  <c r="N54" i="1" s="1"/>
  <c r="N52" i="1" s="1"/>
  <c r="M54" i="1"/>
  <c r="M52" i="1" l="1"/>
  <c r="M125" i="1" s="1"/>
  <c r="U128" i="1"/>
  <c r="U126" i="1"/>
  <c r="U131" i="1"/>
  <c r="U145" i="1" s="1"/>
  <c r="U129" i="1"/>
  <c r="V131" i="1"/>
  <c r="V145" i="1" s="1"/>
  <c r="V130" i="1"/>
  <c r="V144" i="1" s="1"/>
  <c r="U133" i="1"/>
  <c r="U147" i="1" s="1"/>
  <c r="V128" i="1"/>
  <c r="V142" i="1" s="1"/>
  <c r="U130" i="1"/>
  <c r="U125" i="1"/>
  <c r="V129" i="1"/>
  <c r="V143" i="1" s="1"/>
  <c r="U132" i="1"/>
  <c r="U146" i="1" s="1"/>
  <c r="U127" i="1"/>
  <c r="V125" i="1"/>
  <c r="V139" i="1" s="1"/>
  <c r="V126" i="1"/>
  <c r="V140" i="1" s="1"/>
  <c r="V132" i="1"/>
  <c r="V146" i="1" s="1"/>
  <c r="V127" i="1"/>
  <c r="V141" i="1" s="1"/>
  <c r="V133" i="1"/>
  <c r="V147" i="1" s="1"/>
  <c r="Q127" i="1"/>
  <c r="Q132" i="1"/>
  <c r="Q146" i="1" s="1"/>
  <c r="Q133" i="1"/>
  <c r="Q147" i="1" s="1"/>
  <c r="Q128" i="1"/>
  <c r="Q129" i="1"/>
  <c r="Q131" i="1"/>
  <c r="Q145" i="1" s="1"/>
  <c r="Q125" i="1"/>
  <c r="Q130" i="1"/>
  <c r="Q126" i="1"/>
  <c r="N132" i="1"/>
  <c r="N146" i="1" s="1"/>
  <c r="R132" i="1"/>
  <c r="R146" i="1" s="1"/>
  <c r="N133" i="1"/>
  <c r="N147" i="1" s="1"/>
  <c r="R133" i="1"/>
  <c r="R147" i="1" s="1"/>
  <c r="M132" i="1"/>
  <c r="R131" i="1"/>
  <c r="R145" i="1" s="1"/>
  <c r="M133" i="1"/>
  <c r="N131" i="1"/>
  <c r="N145" i="1" s="1"/>
  <c r="M131" i="1"/>
  <c r="M128" i="1" l="1"/>
  <c r="M142" i="1" s="1"/>
  <c r="N128" i="1"/>
  <c r="N142" i="1" s="1"/>
  <c r="N130" i="1"/>
  <c r="N144" i="1" s="1"/>
  <c r="R130" i="1"/>
  <c r="R144" i="1" s="1"/>
  <c r="N127" i="1"/>
  <c r="N141" i="1" s="1"/>
  <c r="M126" i="1"/>
  <c r="M140" i="1" s="1"/>
  <c r="M129" i="1"/>
  <c r="M143" i="1" s="1"/>
  <c r="M130" i="1"/>
  <c r="O130" i="1" s="1"/>
  <c r="R125" i="1"/>
  <c r="S125" i="1" s="1"/>
  <c r="N129" i="1"/>
  <c r="N143" i="1" s="1"/>
  <c r="R128" i="1"/>
  <c r="R142" i="1" s="1"/>
  <c r="M127" i="1"/>
  <c r="M141" i="1" s="1"/>
  <c r="O141" i="1" s="1"/>
  <c r="R126" i="1"/>
  <c r="R140" i="1" s="1"/>
  <c r="R127" i="1"/>
  <c r="R141" i="1" s="1"/>
  <c r="R129" i="1"/>
  <c r="R143" i="1" s="1"/>
  <c r="N126" i="1"/>
  <c r="N140" i="1" s="1"/>
  <c r="N125" i="1"/>
  <c r="O125" i="1" s="1"/>
  <c r="W125" i="1"/>
  <c r="U144" i="1"/>
  <c r="W144" i="1" s="1"/>
  <c r="W130" i="1"/>
  <c r="Q141" i="1"/>
  <c r="S141" i="1" s="1"/>
  <c r="S127" i="1"/>
  <c r="U143" i="1"/>
  <c r="W143" i="1" s="1"/>
  <c r="W129" i="1"/>
  <c r="Q142" i="1"/>
  <c r="Q140" i="1"/>
  <c r="U140" i="1"/>
  <c r="W140" i="1" s="1"/>
  <c r="W126" i="1"/>
  <c r="Q143" i="1"/>
  <c r="S143" i="1" s="1"/>
  <c r="S129" i="1"/>
  <c r="Q144" i="1"/>
  <c r="S130" i="1"/>
  <c r="U141" i="1"/>
  <c r="W141" i="1" s="1"/>
  <c r="W127" i="1"/>
  <c r="U142" i="1"/>
  <c r="W142" i="1" s="1"/>
  <c r="W128" i="1"/>
  <c r="V148" i="1"/>
  <c r="U139" i="1"/>
  <c r="U134" i="1"/>
  <c r="V134" i="1"/>
  <c r="Q134" i="1"/>
  <c r="Q139" i="1"/>
  <c r="M147" i="1"/>
  <c r="M146" i="1"/>
  <c r="M145" i="1"/>
  <c r="N139" i="1"/>
  <c r="N148" i="1" s="1"/>
  <c r="N134" i="1"/>
  <c r="M139" i="1"/>
  <c r="M134" i="1"/>
  <c r="S144" i="1" l="1"/>
  <c r="O140" i="1"/>
  <c r="R139" i="1"/>
  <c r="R148" i="1" s="1"/>
  <c r="O142" i="1"/>
  <c r="O127" i="1"/>
  <c r="O129" i="1"/>
  <c r="S128" i="1"/>
  <c r="O128" i="1"/>
  <c r="O143" i="1"/>
  <c r="M144" i="1"/>
  <c r="O144" i="1" s="1"/>
  <c r="S142" i="1"/>
  <c r="S126" i="1"/>
  <c r="S140" i="1"/>
  <c r="R134" i="1"/>
  <c r="S134" i="1" s="1"/>
  <c r="O126" i="1"/>
  <c r="O134" i="1"/>
  <c r="U148" i="1"/>
  <c r="W148" i="1" s="1"/>
  <c r="W139" i="1"/>
  <c r="Q148" i="1"/>
  <c r="S139" i="1"/>
  <c r="O139" i="1"/>
  <c r="W134" i="1"/>
  <c r="S148" i="1"/>
  <c r="M148" i="1"/>
  <c r="O1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<sst xmlns="http://schemas.openxmlformats.org/spreadsheetml/2006/main" count="987" uniqueCount="377">
  <si>
    <t>Building Width</t>
  </si>
  <si>
    <t>G [kPa]</t>
  </si>
  <si>
    <t>Q [kPa]</t>
  </si>
  <si>
    <t>Storey</t>
  </si>
  <si>
    <t>W_i [kN]</t>
  </si>
  <si>
    <t>m</t>
  </si>
  <si>
    <t>g</t>
  </si>
  <si>
    <t>m/s²</t>
  </si>
  <si>
    <t>s</t>
  </si>
  <si>
    <t>Period est.</t>
  </si>
  <si>
    <t>S_alpha_475</t>
  </si>
  <si>
    <t>S_beta_475</t>
  </si>
  <si>
    <t>Soil Class</t>
  </si>
  <si>
    <t>C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</si>
  <si>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</si>
  <si>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</si>
  <si>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</si>
  <si>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</si>
  <si>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</si>
  <si>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</si>
  <si>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</si>
  <si>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</si>
  <si>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</si>
  <si>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</si>
  <si>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</si>
  <si>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</si>
  <si>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</si>
  <si>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</si>
  <si>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</si>
  <si>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</si>
  <si>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No. Storeys</t>
  </si>
  <si>
    <t>kN</t>
  </si>
  <si>
    <t>F_i [kN]</t>
  </si>
  <si>
    <t>hi [m]</t>
  </si>
  <si>
    <t>Hi [m]</t>
  </si>
  <si>
    <t>m_i [t]</t>
  </si>
  <si>
    <t>mi * Hi</t>
  </si>
  <si>
    <t>si [m]</t>
  </si>
  <si>
    <t xml:space="preserve"> --&gt; Period Check: ec8-1-2:2023 §5.3.3(3)</t>
  </si>
  <si>
    <t>mi * si</t>
  </si>
  <si>
    <t>mi * si²</t>
  </si>
  <si>
    <t>R_q</t>
  </si>
  <si>
    <t>q_max</t>
  </si>
  <si>
    <t>q_d</t>
  </si>
  <si>
    <t>q_R</t>
  </si>
  <si>
    <t>q_S</t>
  </si>
  <si>
    <t>S_r(T)</t>
  </si>
  <si>
    <r>
      <t>Period, T</t>
    </r>
    <r>
      <rPr>
        <vertAlign val="subscript"/>
        <sz val="11"/>
        <color theme="1"/>
        <rFont val="Aptos Narrow"/>
        <family val="2"/>
        <scheme val="minor"/>
      </rPr>
      <t>1</t>
    </r>
  </si>
  <si>
    <t>h [cm]</t>
  </si>
  <si>
    <t>θ</t>
  </si>
  <si>
    <t>q_disp</t>
  </si>
  <si>
    <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</si>
  <si>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u</t>
    </r>
    <r>
      <rPr>
        <b/>
        <vertAlign val="subscript"/>
        <sz val="10"/>
        <rFont val="Arial"/>
        <family val="2"/>
      </rPr>
      <t>x,i-1</t>
    </r>
    <r>
      <rPr>
        <b/>
        <sz val="10"/>
        <rFont val="Arial"/>
        <family val="2"/>
      </rPr>
      <t xml:space="preserve"> [cm]</t>
    </r>
  </si>
  <si>
    <r>
      <t>Δ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</si>
  <si>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P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</si>
  <si>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r>
      <t>V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</si>
  <si>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t>EC8-1-2:2023 §6.2.5(1) Storey Drifts: Control of damage</t>
  </si>
  <si>
    <r>
      <rPr>
        <sz val="11"/>
        <color theme="1"/>
        <rFont val="Aptos Narrow"/>
        <family val="2"/>
      </rPr>
      <t>λ</t>
    </r>
    <r>
      <rPr>
        <vertAlign val="subscript"/>
        <sz val="11"/>
        <color theme="1"/>
        <rFont val="Aptos Narrow"/>
        <family val="2"/>
      </rPr>
      <t>s</t>
    </r>
  </si>
  <si>
    <r>
      <t>λ</t>
    </r>
    <r>
      <rPr>
        <vertAlign val="subscript"/>
        <sz val="11"/>
        <color theme="1"/>
        <rFont val="Aptos Narrow"/>
        <family val="2"/>
      </rPr>
      <t xml:space="preserve">s </t>
    </r>
    <r>
      <rPr>
        <sz val="11"/>
        <color theme="1"/>
        <rFont val="Aptos Narrow"/>
        <family val="2"/>
      </rPr>
      <t xml:space="preserve">· </t>
    </r>
    <r>
      <rPr>
        <b/>
        <sz val="11"/>
        <color theme="1"/>
        <rFont val="Aptos Narrow"/>
        <family val="2"/>
      </rPr>
      <t>h</t>
    </r>
    <r>
      <rPr>
        <b/>
        <vertAlign val="subscript"/>
        <sz val="11"/>
        <color theme="1"/>
        <rFont val="Aptos Narrow"/>
        <family val="2"/>
      </rPr>
      <t>s</t>
    </r>
  </si>
  <si>
    <r>
      <t>d</t>
    </r>
    <r>
      <rPr>
        <b/>
        <vertAlign val="subscript"/>
        <sz val="10"/>
        <rFont val="Arial"/>
        <family val="2"/>
      </rPr>
      <t>r,SD</t>
    </r>
    <r>
      <rPr>
        <b/>
        <sz val="10"/>
        <rFont val="Arial"/>
        <family val="2"/>
      </rPr>
      <t xml:space="preserve"> [-]</t>
    </r>
  </si>
  <si>
    <t>fy</t>
  </si>
  <si>
    <t>kN/cm²</t>
  </si>
  <si>
    <t>gamma_M0</t>
  </si>
  <si>
    <t>Section</t>
  </si>
  <si>
    <t>A [cm²]</t>
  </si>
  <si>
    <t>N,Ed [kN]</t>
  </si>
  <si>
    <t>Npl,Rd [kN]</t>
  </si>
  <si>
    <t>η</t>
  </si>
  <si>
    <t>L</t>
  </si>
  <si>
    <t>L [cm]</t>
  </si>
  <si>
    <t>i [cm]</t>
  </si>
  <si>
    <t>Lcr [cm]</t>
  </si>
  <si>
    <r>
      <t>λ</t>
    </r>
    <r>
      <rPr>
        <vertAlign val="subscript"/>
        <sz val="11"/>
        <color theme="1"/>
        <rFont val="Aptos Narrow"/>
        <family val="2"/>
      </rPr>
      <t>1</t>
    </r>
  </si>
  <si>
    <t>λ_bar</t>
  </si>
  <si>
    <t>α</t>
  </si>
  <si>
    <t>Φ</t>
  </si>
  <si>
    <t>Nb,Rd [kN]</t>
  </si>
  <si>
    <t>Braces in Tension</t>
  </si>
  <si>
    <t>Braces have equal cross sections and inclinations. This clause is satisfied without the need for calculation</t>
  </si>
  <si>
    <t>EC8-1-2:2023 §11.10.1(2) Equal response</t>
  </si>
  <si>
    <t>D</t>
  </si>
  <si>
    <t>t</t>
  </si>
  <si>
    <t>d/t</t>
  </si>
  <si>
    <t>EC8-1-2:2023 §11.10.3 Diagonal Members</t>
  </si>
  <si>
    <t>§11.10.3(1) --&gt; cross section class</t>
  </si>
  <si>
    <t>§11.10.3(5) --&gt; slenderness limit</t>
  </si>
  <si>
    <r>
      <t>λ</t>
    </r>
    <r>
      <rPr>
        <vertAlign val="subscript"/>
        <sz val="11"/>
        <color theme="1"/>
        <rFont val="Aptos Narrow"/>
        <family val="2"/>
      </rPr>
      <t>lim</t>
    </r>
  </si>
  <si>
    <t>§11.10.3(8) --&gt; brace compression capacity</t>
  </si>
  <si>
    <t>EC8-1-2:2023 §11.10.4 Beams and Columns</t>
  </si>
  <si>
    <t>Beam Trib width</t>
  </si>
  <si>
    <t>E</t>
  </si>
  <si>
    <t>N_Ed,E</t>
  </si>
  <si>
    <t>N_Ed,G</t>
  </si>
  <si>
    <t>M_Ed</t>
  </si>
  <si>
    <t>V_Ed</t>
  </si>
  <si>
    <t>N_Ed</t>
  </si>
  <si>
    <t>Mpl,Rd</t>
  </si>
  <si>
    <t>Npl,Rd</t>
  </si>
  <si>
    <t>hw</t>
  </si>
  <si>
    <t>tw</t>
  </si>
  <si>
    <t>A</t>
  </si>
  <si>
    <t>Overstrength</t>
  </si>
  <si>
    <t>Ω</t>
  </si>
  <si>
    <t>kNcm</t>
  </si>
  <si>
    <t>N_Ed,E [kN]</t>
  </si>
  <si>
    <t>N_G_Ed [kN]</t>
  </si>
  <si>
    <t>N_Ed [kN]</t>
  </si>
  <si>
    <t>M-N int</t>
  </si>
  <si>
    <t>n</t>
  </si>
  <si>
    <t>a*</t>
  </si>
  <si>
    <t>b</t>
  </si>
  <si>
    <t>tf</t>
  </si>
  <si>
    <r>
      <t>η</t>
    </r>
    <r>
      <rPr>
        <b/>
        <vertAlign val="subscript"/>
        <sz val="11"/>
        <color theme="1"/>
        <rFont val="Calibri"/>
        <family val="2"/>
      </rPr>
      <t>N</t>
    </r>
  </si>
  <si>
    <r>
      <t>η</t>
    </r>
    <r>
      <rPr>
        <b/>
        <vertAlign val="subscript"/>
        <sz val="11"/>
        <color theme="1"/>
        <rFont val="Calibri"/>
        <family val="2"/>
      </rPr>
      <t>M</t>
    </r>
  </si>
  <si>
    <t>L_bay</t>
  </si>
  <si>
    <t>h_s</t>
  </si>
  <si>
    <t>M_N,Rd</t>
  </si>
  <si>
    <t>ΔV [kN]</t>
  </si>
  <si>
    <r>
      <t>ω</t>
    </r>
    <r>
      <rPr>
        <vertAlign val="subscript"/>
        <sz val="11"/>
        <color theme="1"/>
        <rFont val="Aptos Narrow"/>
        <family val="2"/>
      </rPr>
      <t>rm</t>
    </r>
  </si>
  <si>
    <r>
      <t>ω</t>
    </r>
    <r>
      <rPr>
        <vertAlign val="subscript"/>
        <sz val="11"/>
        <color theme="1"/>
        <rFont val="Aptos Narrow"/>
        <family val="2"/>
      </rPr>
      <t>sh</t>
    </r>
  </si>
  <si>
    <t>EC8-1-2:2023 Structural Design Checks</t>
  </si>
  <si>
    <t>EC8-1-2:2023 §4.4.4(2)c Overstrength regularity</t>
  </si>
  <si>
    <t>EC8-1-2:2023 §4.4.4.2(1)b Structural regularity --&gt; Stiffness</t>
  </si>
  <si>
    <t>EC8-1-2:2023 §4.4.4.2(1)b Structural regularity --&gt; Mass</t>
  </si>
  <si>
    <t xml:space="preserve"> --&gt; lateral stiffness assumed to be the horizontal component of the brace stiffness</t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</si>
  <si>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</si>
  <si>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 xml:space="preserve"> / m</t>
    </r>
    <r>
      <rPr>
        <b/>
        <vertAlign val="subscript"/>
        <sz val="11"/>
        <color theme="1"/>
        <rFont val="Aptos Narrow"/>
        <family val="2"/>
        <scheme val="minor"/>
      </rPr>
      <t>i-1</t>
    </r>
  </si>
  <si>
    <t>&lt;-- must be constant or decrease by not more than 20%</t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</si>
  <si>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</si>
  <si>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/ K</t>
    </r>
    <r>
      <rPr>
        <b/>
        <vertAlign val="subscript"/>
        <sz val="11"/>
        <color theme="1"/>
        <rFont val="Aptos Narrow"/>
        <family val="2"/>
        <scheme val="minor"/>
      </rPr>
      <t>h,i-1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</si>
  <si>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brace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</si>
  <si>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Act. V</t>
    </r>
    <r>
      <rPr>
        <b/>
        <vertAlign val="subscript"/>
        <sz val="11"/>
        <color theme="1"/>
        <rFont val="Aptos Narrow"/>
        <family val="2"/>
        <scheme val="minor"/>
      </rPr>
      <t>tot</t>
    </r>
  </si>
  <si>
    <t>&lt;-- must not vary between storeys by more than 30%</t>
  </si>
  <si>
    <t>Storey N_Ed</t>
  </si>
  <si>
    <t>gamma_M1</t>
  </si>
  <si>
    <t>γ</t>
  </si>
  <si>
    <t>G</t>
  </si>
  <si>
    <t>Q</t>
  </si>
  <si>
    <t>W</t>
  </si>
  <si>
    <t>I</t>
  </si>
  <si>
    <t>φ</t>
  </si>
  <si>
    <t>GQEI</t>
  </si>
  <si>
    <t>Floor Loads [kPa]</t>
  </si>
  <si>
    <t>Beam UDLs [kN/m]</t>
  </si>
  <si>
    <t>LC1</t>
  </si>
  <si>
    <t>LC2</t>
  </si>
  <si>
    <t>Stab</t>
  </si>
  <si>
    <t>G+Q</t>
  </si>
  <si>
    <t>Σ</t>
  </si>
  <si>
    <t>Floor Loads</t>
  </si>
  <si>
    <t>Seismic Loads --&gt; EC8-1-1:2022</t>
  </si>
  <si>
    <t>Wind Loads --&gt; EC1-4:2010</t>
  </si>
  <si>
    <t>Windzone</t>
  </si>
  <si>
    <t>v_b0</t>
  </si>
  <si>
    <t>m/s</t>
  </si>
  <si>
    <t>q_b0</t>
  </si>
  <si>
    <t>c_pe_wind</t>
  </si>
  <si>
    <t>c_pe_lee</t>
  </si>
  <si>
    <t>c_0</t>
  </si>
  <si>
    <t>z_0</t>
  </si>
  <si>
    <t>k_I</t>
  </si>
  <si>
    <t>z_min</t>
  </si>
  <si>
    <t>c_dir</t>
  </si>
  <si>
    <t>c_season</t>
  </si>
  <si>
    <t>Terrain Cat.</t>
  </si>
  <si>
    <t>Topography</t>
  </si>
  <si>
    <t>Flat</t>
  </si>
  <si>
    <t>c_r</t>
  </si>
  <si>
    <t>k_r</t>
  </si>
  <si>
    <t>v_b</t>
  </si>
  <si>
    <t>v_m [m/s]</t>
  </si>
  <si>
    <t>ρ</t>
  </si>
  <si>
    <t>kg/m³</t>
  </si>
  <si>
    <t>I_v</t>
  </si>
  <si>
    <t>q_p [kPa]</t>
  </si>
  <si>
    <t>h</t>
  </si>
  <si>
    <t>d</t>
  </si>
  <si>
    <t>h/d</t>
  </si>
  <si>
    <t>Building Depth</t>
  </si>
  <si>
    <t>Lateral Trib width</t>
  </si>
  <si>
    <t>&lt;-- tributary width for seismic mass / lateral loads</t>
  </si>
  <si>
    <t>cscd</t>
  </si>
  <si>
    <t>alpha</t>
  </si>
  <si>
    <t>L(z)</t>
  </si>
  <si>
    <t>B²</t>
  </si>
  <si>
    <t>R²</t>
  </si>
  <si>
    <t>SL</t>
  </si>
  <si>
    <t>Ks</t>
  </si>
  <si>
    <t>G_y</t>
  </si>
  <si>
    <t>G_z</t>
  </si>
  <si>
    <t>φy</t>
  </si>
  <si>
    <t>zs</t>
  </si>
  <si>
    <t>vm(zs)</t>
  </si>
  <si>
    <t>c_r(zs)</t>
  </si>
  <si>
    <t>φz</t>
  </si>
  <si>
    <t>f_L</t>
  </si>
  <si>
    <t>δs</t>
  </si>
  <si>
    <t>δa</t>
  </si>
  <si>
    <t>cf</t>
  </si>
  <si>
    <t>d/b</t>
  </si>
  <si>
    <t>cf,0</t>
  </si>
  <si>
    <t>ψ_λ</t>
  </si>
  <si>
    <t>λ</t>
  </si>
  <si>
    <t>h/b</t>
  </si>
  <si>
    <t>l/b</t>
  </si>
  <si>
    <t>ψ_r</t>
  </si>
  <si>
    <t>si²</t>
  </si>
  <si>
    <t>δ</t>
  </si>
  <si>
    <t>kp</t>
  </si>
  <si>
    <t>I_v(zs)</t>
  </si>
  <si>
    <t>trib_h [m]</t>
  </si>
  <si>
    <t>m [t/m]</t>
  </si>
  <si>
    <t>Φ²</t>
  </si>
  <si>
    <t>F_wind</t>
  </si>
  <si>
    <t>F_lee</t>
  </si>
  <si>
    <r>
      <t xml:space="preserve">F_w [kN] -  </t>
    </r>
    <r>
      <rPr>
        <b/>
        <sz val="11"/>
        <color theme="1"/>
        <rFont val="Aptos Narrow"/>
        <family val="2"/>
      </rPr>
      <t>design loads</t>
    </r>
  </si>
  <si>
    <t xml:space="preserve"> --&gt; The sign for the axial force is reversed so that it corresponds with the opensees code (-ve values at end i are tension, +ve values are compression)</t>
  </si>
  <si>
    <t>Demands</t>
  </si>
  <si>
    <t>Verification</t>
  </si>
  <si>
    <t>Beams</t>
  </si>
  <si>
    <t>Columns</t>
  </si>
  <si>
    <t xml:space="preserve"> --&gt; maximum compression force is larger than the maximum tension force. </t>
  </si>
  <si>
    <t xml:space="preserve"> --&gt; The fact that the buckling check passes means that the tension check on the same section will pass as well</t>
  </si>
  <si>
    <t>Braces</t>
  </si>
  <si>
    <t>Compression</t>
  </si>
  <si>
    <t>Tension</t>
  </si>
  <si>
    <t>Tension / min. Compression</t>
  </si>
  <si>
    <t xml:space="preserve"> max. Compression</t>
  </si>
  <si>
    <t>l [cm]</t>
  </si>
  <si>
    <t xml:space="preserve"> --&gt; buckling length of the brace assumed to be 80% of the length between the brace end nodes. This follows e8 for gussets allowing out of plane rotation. Conservative for stiffer gussets</t>
  </si>
  <si>
    <t>Braces - L1</t>
  </si>
  <si>
    <t>β</t>
  </si>
  <si>
    <t>Braces - L2</t>
  </si>
  <si>
    <t>Materials</t>
  </si>
  <si>
    <t>D [mm]</t>
  </si>
  <si>
    <t>t [mm]</t>
  </si>
  <si>
    <t>Mpl,Rd [kNcm]</t>
  </si>
  <si>
    <t>b [cm]</t>
  </si>
  <si>
    <t>tw [cm]</t>
  </si>
  <si>
    <t>tf [cm]</t>
  </si>
  <si>
    <t>hw [cm]</t>
  </si>
  <si>
    <t>M_pl,Rd [kNcm]</t>
  </si>
  <si>
    <r>
      <t>λ</t>
    </r>
    <r>
      <rPr>
        <b/>
        <vertAlign val="subscript"/>
        <sz val="11"/>
        <color theme="1"/>
        <rFont val="Aptos Narrow"/>
        <family val="2"/>
      </rPr>
      <t>1</t>
    </r>
  </si>
  <si>
    <r>
      <t>ω</t>
    </r>
    <r>
      <rPr>
        <b/>
        <vertAlign val="subscript"/>
        <sz val="11"/>
        <color theme="1"/>
        <rFont val="Aptos Narrow"/>
        <family val="2"/>
      </rPr>
      <t>rm</t>
    </r>
  </si>
  <si>
    <r>
      <rPr>
        <b/>
        <sz val="11"/>
        <color theme="1"/>
        <rFont val="Aptos Narrow"/>
        <family val="2"/>
      </rPr>
      <t>γ</t>
    </r>
    <r>
      <rPr>
        <b/>
        <vertAlign val="subscript"/>
        <sz val="11"/>
        <color theme="1"/>
        <rFont val="Aptos Narrow"/>
        <family val="2"/>
      </rPr>
      <t>M0</t>
    </r>
  </si>
  <si>
    <r>
      <t>γ</t>
    </r>
    <r>
      <rPr>
        <b/>
        <vertAlign val="subscript"/>
        <sz val="11"/>
        <color theme="1"/>
        <rFont val="Aptos Narrow"/>
        <family val="2"/>
      </rPr>
      <t>M1</t>
    </r>
  </si>
  <si>
    <r>
      <t>f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</si>
  <si>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Partial Safety Factors and Combination Factors</t>
  </si>
  <si>
    <r>
      <t>ψ</t>
    </r>
    <r>
      <rPr>
        <b/>
        <vertAlign val="subscript"/>
        <sz val="11"/>
        <color theme="1"/>
        <rFont val="Aptos Narrow"/>
        <family val="2"/>
      </rPr>
      <t>0</t>
    </r>
  </si>
  <si>
    <r>
      <t>ψ</t>
    </r>
    <r>
      <rPr>
        <b/>
        <vertAlign val="subscript"/>
        <sz val="11"/>
        <color theme="1"/>
        <rFont val="Aptos Narrow"/>
        <family val="2"/>
      </rPr>
      <t>1</t>
    </r>
  </si>
  <si>
    <r>
      <t>ψ</t>
    </r>
    <r>
      <rPr>
        <b/>
        <vertAlign val="subscript"/>
        <sz val="11"/>
        <color theme="1"/>
        <rFont val="Aptos Narrow"/>
        <family val="2"/>
      </rPr>
      <t>2</t>
    </r>
  </si>
  <si>
    <r>
      <t>ψ</t>
    </r>
    <r>
      <rPr>
        <b/>
        <vertAlign val="subscript"/>
        <sz val="11"/>
        <color theme="1"/>
        <rFont val="Aptos Narrow"/>
        <family val="2"/>
      </rPr>
      <t>E</t>
    </r>
  </si>
  <si>
    <t>&lt;-- check this is the correct height</t>
  </si>
  <si>
    <t>Braces - L3</t>
  </si>
  <si>
    <r>
      <t>Iy [cm</t>
    </r>
    <r>
      <rPr>
        <b/>
        <vertAlign val="super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]</t>
    </r>
  </si>
  <si>
    <t>i_z [cm]</t>
  </si>
  <si>
    <t>EC8-1-2:2023 §11.5(4) Storey Drifts: Control of second order effects</t>
  </si>
  <si>
    <t>qs_eff</t>
  </si>
  <si>
    <t>Ωd</t>
  </si>
  <si>
    <r>
      <t>ω</t>
    </r>
    <r>
      <rPr>
        <b/>
        <vertAlign val="subscript"/>
        <sz val="11"/>
        <color theme="1"/>
        <rFont val="Aptos Narrow"/>
        <family val="2"/>
      </rPr>
      <t>sh</t>
    </r>
  </si>
  <si>
    <t>Class 1 Limit</t>
  </si>
  <si>
    <t>§11.10.3(1)a limit</t>
  </si>
  <si>
    <t>&lt;-- DC3 limit</t>
  </si>
  <si>
    <t>§11.10.3(9) / §11.10.3(10)  --&gt; buckling of braces in top storey</t>
  </si>
  <si>
    <t>Ωb</t>
  </si>
  <si>
    <t>Ω/Ωb</t>
  </si>
  <si>
    <t>M_Ed,G [kNcm]</t>
  </si>
  <si>
    <t>N_Ed,G [kN]</t>
  </si>
  <si>
    <t>V_Ed,G [kN]</t>
  </si>
  <si>
    <t>V_ED,E [kN]</t>
  </si>
  <si>
    <t>V_Ed [kN]</t>
  </si>
  <si>
    <t>M_Ed,E [kNcm]</t>
  </si>
  <si>
    <t>M_Ed [kNcm]</t>
  </si>
  <si>
    <t xml:space="preserve">§11.10.4(2)a: DC3 overstrength seismic actions in beams </t>
  </si>
  <si>
    <t>Materail Rand.</t>
  </si>
  <si>
    <t>Material Hard.</t>
  </si>
  <si>
    <t xml:space="preserve">§11.10.4(2)b: DC3 free body force distribution with braces buckling </t>
  </si>
  <si>
    <t>&lt;-- beam at first storey in bay 3. largest tension force in brace due to gravity +  seismic actions</t>
  </si>
  <si>
    <t xml:space="preserve">§11.10.4(2)c: DC3 free body force distribution with braces yielding in tension and post buckling </t>
  </si>
  <si>
    <t xml:space="preserve">§11.10.4(2)a: DC3 overstrength seismic actions in columns </t>
  </si>
  <si>
    <t>&lt;-- column on the first storey on grid 2. largest compression force due to gravity + seismic actions</t>
  </si>
  <si>
    <t>&lt;-- column on the first storey on grid 2. largest compression force due to gravity + free body actions. Seismic compression force is the sum of the vertical components of the tension braces above</t>
  </si>
  <si>
    <r>
      <t>ω</t>
    </r>
    <r>
      <rPr>
        <b/>
        <vertAlign val="subscript"/>
        <sz val="11"/>
        <color theme="1"/>
        <rFont val="Aptos Narrow"/>
        <family val="2"/>
        <scheme val="minor"/>
      </rPr>
      <t>rm</t>
    </r>
    <r>
      <rPr>
        <b/>
        <sz val="11"/>
        <color theme="1"/>
        <rFont val="Aptos Narrow"/>
        <family val="2"/>
        <scheme val="minor"/>
      </rPr>
      <t>*N</t>
    </r>
    <r>
      <rPr>
        <b/>
        <vertAlign val="subscript"/>
        <sz val="11"/>
        <color theme="1"/>
        <rFont val="Aptos Narrow"/>
        <family val="2"/>
        <scheme val="minor"/>
      </rPr>
      <t>b,Rd</t>
    </r>
    <r>
      <rPr>
        <b/>
        <sz val="11"/>
        <color theme="1"/>
        <rFont val="Aptos Narrow"/>
        <family val="2"/>
        <scheme val="minor"/>
      </rPr>
      <t xml:space="preserve"> [kN]</t>
    </r>
  </si>
  <si>
    <r>
      <t>ω</t>
    </r>
    <r>
      <rPr>
        <b/>
        <vertAlign val="subscript"/>
        <sz val="11"/>
        <color theme="1"/>
        <rFont val="Aptos Narrow"/>
        <family val="2"/>
        <scheme val="minor"/>
      </rPr>
      <t>sh</t>
    </r>
    <r>
      <rPr>
        <b/>
        <sz val="11"/>
        <color theme="1"/>
        <rFont val="Aptos Narrow"/>
        <family val="2"/>
        <scheme val="minor"/>
      </rPr>
      <t>*ω</t>
    </r>
    <r>
      <rPr>
        <b/>
        <vertAlign val="subscript"/>
        <sz val="11"/>
        <color theme="1"/>
        <rFont val="Aptos Narrow"/>
        <family val="2"/>
        <scheme val="minor"/>
      </rPr>
      <t>rm</t>
    </r>
    <r>
      <rPr>
        <b/>
        <sz val="11"/>
        <color theme="1"/>
        <rFont val="Aptos Narrow"/>
        <family val="2"/>
        <scheme val="minor"/>
      </rPr>
      <t>*N</t>
    </r>
    <r>
      <rPr>
        <b/>
        <vertAlign val="subscript"/>
        <sz val="11"/>
        <color theme="1"/>
        <rFont val="Aptos Narrow"/>
        <family val="2"/>
        <scheme val="minor"/>
      </rPr>
      <t>pl,Rd</t>
    </r>
    <r>
      <rPr>
        <b/>
        <sz val="11"/>
        <color theme="1"/>
        <rFont val="Aptos Narrow"/>
        <family val="2"/>
        <scheme val="minor"/>
      </rPr>
      <t xml:space="preserve"> [kN]</t>
    </r>
  </si>
  <si>
    <t>§11.10.4(9): DC3 free body force distribution with braces yielding in tension and post buckling  with additional moment</t>
  </si>
  <si>
    <r>
      <t>d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[cm]</t>
    </r>
  </si>
  <si>
    <t>&lt;-- column on the first storey on grid 2. largest compression force due to gravity + free body actions. Seismic compression force is the sum of the vertical components of the tension braces above. More critical than the tension forces due to buckling braces</t>
  </si>
  <si>
    <t>§11.10.3(12) - uniform buckling overstrength ratios</t>
  </si>
  <si>
    <t>&lt;-- beam at first storey in bay 1. largest compression force in brace due to gravity +  seismic actions</t>
  </si>
  <si>
    <t>Mel,Rd [kNcm]</t>
  </si>
  <si>
    <t>Seciton Class</t>
  </si>
  <si>
    <t>Mc,Rd</t>
  </si>
  <si>
    <t>&lt;-- beam at first storey in bay 3. largest compression force in brace due to gravity +  free body actions. Assumed that the seismic action in beam is equal to 2x the horizontal component fo the buckling brace. Conservative</t>
  </si>
  <si>
    <t>z</t>
  </si>
  <si>
    <t>w_e [kPa]</t>
  </si>
  <si>
    <t>z_b</t>
  </si>
  <si>
    <t>z_h</t>
  </si>
  <si>
    <t>h-dh</t>
  </si>
  <si>
    <t>h+dh</t>
  </si>
  <si>
    <t xml:space="preserve"> H_i [m]</t>
  </si>
  <si>
    <r>
      <t xml:space="preserve">F_w [kN] -  </t>
    </r>
    <r>
      <rPr>
        <b/>
        <sz val="11"/>
        <color theme="1"/>
        <rFont val="Aptos Narrow"/>
        <family val="2"/>
      </rPr>
      <t>Characteristic loads</t>
    </r>
  </si>
  <si>
    <t>Windward wind pressure calculations</t>
  </si>
  <si>
    <t>Leeward wind pressure calculations</t>
  </si>
  <si>
    <t>ΣF  kN/m width</t>
  </si>
  <si>
    <t>case 1: h&lt;b</t>
  </si>
  <si>
    <t>case 2: h&lt;2b</t>
  </si>
  <si>
    <t>case 2: h&gt;2b</t>
  </si>
  <si>
    <t>Frame Trib width</t>
  </si>
  <si>
    <t>LC3</t>
  </si>
  <si>
    <t>GQWSI</t>
  </si>
  <si>
    <t>GWQSI</t>
  </si>
  <si>
    <t>GSQWI</t>
  </si>
  <si>
    <t>S</t>
  </si>
  <si>
    <t>ν [Hz]</t>
  </si>
  <si>
    <t>n1,x  [Hz ]</t>
  </si>
  <si>
    <t>me  [kg/m]</t>
  </si>
  <si>
    <t>S [kPa]</t>
  </si>
  <si>
    <t>Snow Loads --&gt; EC1-3:2010</t>
  </si>
  <si>
    <t>sk</t>
  </si>
  <si>
    <t>Ground snow load</t>
  </si>
  <si>
    <t>kPa</t>
  </si>
  <si>
    <t>Roof slope</t>
  </si>
  <si>
    <t>°</t>
  </si>
  <si>
    <t>Ce</t>
  </si>
  <si>
    <t>Ct</t>
  </si>
  <si>
    <t>Shape factor</t>
  </si>
  <si>
    <r>
      <t>μ</t>
    </r>
    <r>
      <rPr>
        <vertAlign val="subscript"/>
        <sz val="11"/>
        <color theme="1"/>
        <rFont val="Aptos Narrow"/>
        <family val="2"/>
      </rPr>
      <t>1</t>
    </r>
  </si>
  <si>
    <t>Roof snow load</t>
  </si>
  <si>
    <t>LC1 - GQWSI</t>
  </si>
  <si>
    <t>W_i[kN]</t>
  </si>
  <si>
    <t>CHS 193.7x6</t>
  </si>
  <si>
    <t>q_design</t>
  </si>
  <si>
    <t>&lt;-- must not vary by more than 25% (except the top storey. That is ignored)</t>
  </si>
  <si>
    <t>CHS 177.8x6.3</t>
  </si>
  <si>
    <t>&lt;-- tributary width for gravity loads</t>
  </si>
  <si>
    <t>&lt;-- tributary width for beam UDL for gravity loads</t>
  </si>
  <si>
    <r>
      <t>ω</t>
    </r>
    <r>
      <rPr>
        <vertAlign val="subscript"/>
        <sz val="11"/>
        <color theme="1"/>
        <rFont val="Aptos Narrow"/>
        <family val="2"/>
      </rPr>
      <t>pb</t>
    </r>
  </si>
  <si>
    <t>Post Buckling</t>
  </si>
  <si>
    <t>&lt;-- beam at first storey in bay 3. largest tension force in brace due to gravity +  free body actions. Assumed that the seismic action in beam is equal to the horizontal component of the tension brace but in tension</t>
  </si>
  <si>
    <t>&lt;-- beam at first storey in bay 1. largest compression force in brace due to gravity +  free body actions. Assumed that the seismic action in beam is equal to the horizontal component of the tension brace</t>
  </si>
  <si>
    <t>&lt;-- beam at first storey in bay 3. largest tension force in brace due to gravity +  free body actions. Assumed that the seismic action in beam is equal to the horizontal component fo the buckling brace.</t>
  </si>
  <si>
    <t>Cmy</t>
  </si>
  <si>
    <t>Cmz</t>
  </si>
  <si>
    <t>CmLT</t>
  </si>
  <si>
    <t>λ_LT</t>
  </si>
  <si>
    <t>&lt;-- zero moment around the z axis</t>
  </si>
  <si>
    <t>&lt;-- uniform moment around y axis</t>
  </si>
  <si>
    <t>&lt;-- assumption that the column is not susceptible to LT buckling</t>
  </si>
  <si>
    <t>i_y [cm]</t>
  </si>
  <si>
    <t>αz</t>
  </si>
  <si>
    <t>αy</t>
  </si>
  <si>
    <t>α_z</t>
  </si>
  <si>
    <t>λ_bar_z</t>
  </si>
  <si>
    <t>Φ_z</t>
  </si>
  <si>
    <t>χ_z</t>
  </si>
  <si>
    <t>Nb,z,Rd [kN]</t>
  </si>
  <si>
    <t>λ_bar_y</t>
  </si>
  <si>
    <t>Φ_y</t>
  </si>
  <si>
    <t>χ_y</t>
  </si>
  <si>
    <t>Nb,y,Rd [kN]</t>
  </si>
  <si>
    <t>α_y</t>
  </si>
  <si>
    <t>k_yy</t>
  </si>
  <si>
    <t>k_zz</t>
  </si>
  <si>
    <t>k_yz</t>
  </si>
  <si>
    <t>k_zy</t>
  </si>
  <si>
    <r>
      <t>η</t>
    </r>
    <r>
      <rPr>
        <b/>
        <vertAlign val="subscript"/>
        <sz val="11"/>
        <color theme="1"/>
        <rFont val="Calibri"/>
        <family val="2"/>
      </rPr>
      <t>y</t>
    </r>
  </si>
  <si>
    <r>
      <t>η</t>
    </r>
    <r>
      <rPr>
        <b/>
        <vertAlign val="subscript"/>
        <sz val="11"/>
        <color theme="1"/>
        <rFont val="Calibri"/>
        <family val="2"/>
      </rPr>
      <t>z</t>
    </r>
  </si>
  <si>
    <r>
      <t>η</t>
    </r>
    <r>
      <rPr>
        <b/>
        <vertAlign val="subscript"/>
        <sz val="11"/>
        <color theme="1"/>
        <rFont val="Calibri"/>
        <family val="2"/>
      </rPr>
      <t>N,y</t>
    </r>
  </si>
  <si>
    <r>
      <t>η</t>
    </r>
    <r>
      <rPr>
        <b/>
        <vertAlign val="subscript"/>
        <sz val="11"/>
        <color theme="1"/>
        <rFont val="Aptos Narrow"/>
        <family val="2"/>
        <scheme val="minor"/>
      </rPr>
      <t>N,z</t>
    </r>
  </si>
  <si>
    <t>HEB 650</t>
  </si>
  <si>
    <t>IPE 360</t>
  </si>
  <si>
    <t>CHS 168.3x6</t>
  </si>
  <si>
    <t>CHS 139.7x6.3</t>
  </si>
  <si>
    <t>LC3 - GQWSI</t>
  </si>
  <si>
    <t>LC2 - GQWSI</t>
  </si>
  <si>
    <t>LC4 - GQEI</t>
  </si>
  <si>
    <t>General Building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</si>
</sst>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2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bscript"/>
      <sz val="10"/>
      <name val="Arial"/>
      <family val="2"/>
    </font>
    <font>
      <b/>
      <sz val="10"/>
      <name val="Arial"/>
      <family val="2"/>
    </font>
    <font>
      <b/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Display"/>
      <family val="2"/>
      <scheme val="major"/>
    </font>
    <font>
      <i/>
      <u/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2" fontId="5" fillId="0" borderId="0" xfId="0" applyNumberFormat="1" applyFont="1"/>
    <xf numFmtId="2" fontId="5" fillId="0" borderId="1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0" fontId="12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5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/>
    <xf numFmtId="0" fontId="3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5" fontId="0" fillId="0" borderId="0" xfId="0" applyNumberFormat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2" fillId="0" borderId="2" xfId="0" applyFont="1" applyBorder="1"/>
    <xf numFmtId="0" fontId="0" fillId="0" borderId="4" xfId="0" applyBorder="1"/>
    <xf numFmtId="165" fontId="5" fillId="0" borderId="5" xfId="0" applyNumberFormat="1" applyFont="1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1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2" fillId="2" borderId="8" xfId="0" applyFont="1" applyFill="1" applyBorder="1"/>
    <xf numFmtId="0" fontId="2" fillId="2" borderId="9" xfId="0" applyFont="1" applyFill="1" applyBorder="1"/>
    <xf numFmtId="165" fontId="5" fillId="0" borderId="3" xfId="0" applyNumberFormat="1" applyFont="1" applyBorder="1"/>
    <xf numFmtId="0" fontId="2" fillId="0" borderId="3" xfId="0" applyFont="1" applyBorder="1"/>
    <xf numFmtId="0" fontId="0" fillId="0" borderId="2" xfId="0" applyBorder="1" applyAlignment="1">
      <alignment vertical="center"/>
    </xf>
    <xf numFmtId="164" fontId="5" fillId="0" borderId="5" xfId="0" applyNumberFormat="1" applyFont="1" applyBorder="1"/>
    <xf numFmtId="0" fontId="5" fillId="0" borderId="10" xfId="0" applyFont="1" applyBorder="1"/>
    <xf numFmtId="164" fontId="5" fillId="0" borderId="10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5" fillId="0" borderId="14" xfId="0" applyFont="1" applyBorder="1"/>
    <xf numFmtId="0" fontId="2" fillId="0" borderId="15" xfId="0" applyFont="1" applyBorder="1" applyAlignment="1">
      <alignment horizontal="center"/>
    </xf>
    <xf numFmtId="0" fontId="1" fillId="0" borderId="2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right"/>
    </xf>
    <xf numFmtId="1" fontId="5" fillId="0" borderId="5" xfId="0" applyNumberFormat="1" applyFont="1" applyBorder="1"/>
    <xf numFmtId="0" fontId="2" fillId="0" borderId="6" xfId="0" applyFont="1" applyBorder="1"/>
    <xf numFmtId="0" fontId="2" fillId="0" borderId="16" xfId="0" applyFont="1" applyBorder="1" applyAlignment="1">
      <alignment horizontal="center"/>
    </xf>
    <xf numFmtId="0" fontId="1" fillId="0" borderId="17" xfId="0" applyFont="1" applyBorder="1"/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5" fillId="0" borderId="3" xfId="0" applyNumberFormat="1" applyFont="1" applyBorder="1"/>
    <xf numFmtId="164" fontId="3" fillId="0" borderId="5" xfId="0" applyNumberFormat="1" applyFont="1" applyBorder="1" applyAlignment="1">
      <alignment horizontal="right"/>
    </xf>
    <xf numFmtId="0" fontId="2" fillId="0" borderId="5" xfId="0" applyFont="1" applyBorder="1"/>
    <xf numFmtId="0" fontId="2" fillId="2" borderId="18" xfId="0" applyFont="1" applyFill="1" applyBorder="1"/>
    <xf numFmtId="0" fontId="2" fillId="2" borderId="11" xfId="0" applyFont="1" applyFill="1" applyBorder="1"/>
    <xf numFmtId="0" fontId="2" fillId="2" borderId="19" xfId="0" applyFont="1" applyFill="1" applyBorder="1"/>
    <xf numFmtId="0" fontId="2" fillId="0" borderId="13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5" xfId="0" applyFont="1" applyBorder="1"/>
    <xf numFmtId="165" fontId="15" fillId="2" borderId="8" xfId="0" applyNumberFormat="1" applyFont="1" applyFill="1" applyBorder="1"/>
    <xf numFmtId="165" fontId="15" fillId="2" borderId="9" xfId="0" applyNumberFormat="1" applyFont="1" applyFill="1" applyBorder="1"/>
    <xf numFmtId="164" fontId="0" fillId="0" borderId="0" xfId="0" applyNumberForma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1" xfId="0" applyFont="1" applyBorder="1" applyAlignment="1">
      <alignment horizontal="center"/>
    </xf>
    <xf numFmtId="1" fontId="5" fillId="0" borderId="2" xfId="0" applyNumberFormat="1" applyFont="1" applyBorder="1"/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19" fillId="0" borderId="5" xfId="0" applyNumberFormat="1" applyFont="1" applyBorder="1" applyAlignment="1">
      <alignment horizontal="right"/>
    </xf>
    <xf numFmtId="2" fontId="5" fillId="0" borderId="5" xfId="0" applyNumberFormat="1" applyFont="1" applyBorder="1"/>
    <xf numFmtId="0" fontId="0" fillId="2" borderId="11" xfId="0" applyFill="1" applyBorder="1"/>
    <xf numFmtId="0" fontId="0" fillId="2" borderId="19" xfId="0" applyFill="1" applyBorder="1"/>
    <xf numFmtId="0" fontId="12" fillId="2" borderId="18" xfId="0" applyFont="1" applyFill="1" applyBorder="1"/>
    <xf numFmtId="0" fontId="2" fillId="0" borderId="16" xfId="0" applyFont="1" applyBorder="1"/>
    <xf numFmtId="0" fontId="2" fillId="0" borderId="20" xfId="0" applyFont="1" applyBorder="1"/>
    <xf numFmtId="0" fontId="2" fillId="0" borderId="22" xfId="0" applyFont="1" applyBorder="1"/>
    <xf numFmtId="0" fontId="1" fillId="0" borderId="5" xfId="0" applyFont="1" applyBorder="1" applyAlignment="1">
      <alignment horizontal="center"/>
    </xf>
    <xf numFmtId="0" fontId="4" fillId="0" borderId="20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2" borderId="7" xfId="0" applyFont="1" applyFill="1" applyBorder="1"/>
    <xf numFmtId="0" fontId="4" fillId="0" borderId="2" xfId="0" applyFont="1" applyBorder="1"/>
    <xf numFmtId="0" fontId="18" fillId="0" borderId="2" xfId="0" applyFont="1" applyBorder="1"/>
    <xf numFmtId="2" fontId="5" fillId="0" borderId="15" xfId="0" applyNumberFormat="1" applyFont="1" applyBorder="1"/>
    <xf numFmtId="0" fontId="15" fillId="0" borderId="0" xfId="0" applyFont="1"/>
    <xf numFmtId="2" fontId="5" fillId="0" borderId="23" xfId="0" applyNumberFormat="1" applyFont="1" applyBorder="1"/>
    <xf numFmtId="15" fontId="0" fillId="0" borderId="3" xfId="0" applyNumberFormat="1" applyBorder="1"/>
    <xf numFmtId="0" fontId="1" fillId="2" borderId="8" xfId="0" applyFont="1" applyFill="1" applyBorder="1"/>
    <xf numFmtId="0" fontId="15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/>
    <xf numFmtId="15" fontId="15" fillId="0" borderId="0" xfId="0" applyNumberFormat="1" applyFont="1"/>
    <xf numFmtId="15" fontId="2" fillId="0" borderId="0" xfId="0" applyNumberFormat="1" applyFont="1"/>
    <xf numFmtId="15" fontId="15" fillId="0" borderId="3" xfId="0" applyNumberFormat="1" applyFont="1" applyBorder="1"/>
    <xf numFmtId="0" fontId="2" fillId="0" borderId="4" xfId="0" applyFont="1" applyBorder="1"/>
    <xf numFmtId="0" fontId="0" fillId="2" borderId="7" xfId="0" applyFill="1" applyBorder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/>
    <xf numFmtId="164" fontId="1" fillId="3" borderId="0" xfId="0" applyNumberFormat="1" applyFont="1" applyFill="1"/>
    <xf numFmtId="0" fontId="0" fillId="2" borderId="20" xfId="0" applyFill="1" applyBorder="1"/>
    <xf numFmtId="0" fontId="8" fillId="0" borderId="0" xfId="0" applyFont="1"/>
    <xf numFmtId="0" fontId="2" fillId="2" borderId="20" xfId="0" applyFont="1" applyFill="1" applyBorder="1"/>
    <xf numFmtId="0" fontId="2" fillId="2" borderId="22" xfId="0" applyFont="1" applyFill="1" applyBorder="1"/>
    <xf numFmtId="0" fontId="0" fillId="2" borderId="22" xfId="0" applyFill="1" applyBorder="1"/>
    <xf numFmtId="0" fontId="0" fillId="0" borderId="1" xfId="0" applyBorder="1"/>
    <xf numFmtId="0" fontId="0" fillId="0" borderId="15" xfId="0" applyBorder="1"/>
    <xf numFmtId="0" fontId="3" fillId="0" borderId="1" xfId="0" applyFont="1" applyBorder="1"/>
    <xf numFmtId="0" fontId="0" fillId="0" borderId="13" xfId="0" applyBorder="1"/>
    <xf numFmtId="0" fontId="1" fillId="0" borderId="1" xfId="0" applyFont="1" applyBorder="1"/>
    <xf numFmtId="0" fontId="3" fillId="0" borderId="13" xfId="0" applyFont="1" applyBorder="1"/>
    <xf numFmtId="0" fontId="3" fillId="0" borderId="24" xfId="0" applyFont="1" applyBorder="1"/>
    <xf numFmtId="0" fontId="2" fillId="2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9" xfId="0" applyBorder="1"/>
    <xf numFmtId="0" fontId="18" fillId="0" borderId="0" xfId="0" applyFont="1"/>
    <xf numFmtId="166" fontId="5" fillId="0" borderId="0" xfId="0" applyNumberFormat="1" applyFont="1"/>
    <xf numFmtId="15" fontId="2" fillId="0" borderId="0" xfId="0" applyNumberFormat="1" applyFont="1" applyAlignment="1">
      <alignment horizontal="center"/>
    </xf>
    <xf numFmtId="15" fontId="22" fillId="0" borderId="0" xfId="0" applyNumberFormat="1" applyFont="1"/>
    <xf numFmtId="0" fontId="23" fillId="0" borderId="23" xfId="0" applyFont="1" applyBorder="1"/>
    <xf numFmtId="0" fontId="23" fillId="0" borderId="25" xfId="0" applyFont="1" applyBorder="1"/>
    <xf numFmtId="0" fontId="0" fillId="2" borderId="16" xfId="0" applyFill="1" applyBorder="1"/>
    <xf numFmtId="0" fontId="2" fillId="2" borderId="16" xfId="0" applyFont="1" applyFill="1" applyBorder="1"/>
    <xf numFmtId="2" fontId="5" fillId="2" borderId="20" xfId="0" applyNumberFormat="1" applyFont="1" applyFill="1" applyBorder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" fontId="1" fillId="0" borderId="5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24" fillId="0" borderId="0" xfId="0" applyNumberFormat="1" applyFont="1"/>
    <xf numFmtId="0" fontId="2" fillId="2" borderId="1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2" borderId="0" xfId="0" applyFill="1"/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horizontal="right"/>
    </xf>
    <xf numFmtId="165" fontId="5" fillId="0" borderId="11" xfId="0" applyNumberFormat="1" applyFont="1" applyBorder="1"/>
    <xf numFmtId="1" fontId="5" fillId="0" borderId="11" xfId="0" applyNumberFormat="1" applyFont="1" applyBorder="1"/>
    <xf numFmtId="0" fontId="2" fillId="0" borderId="11" xfId="0" applyFont="1" applyBorder="1"/>
    <xf numFmtId="0" fontId="5" fillId="0" borderId="4" xfId="0" applyFont="1" applyBorder="1" applyAlignment="1">
      <alignment horizontal="center"/>
    </xf>
    <xf numFmtId="1" fontId="5" fillId="0" borderId="0" xfId="0" applyNumberFormat="1" applyFont="1" applyAlignment="1">
      <alignment horizontal="right"/>
    </xf>
    <xf numFmtId="0" fontId="0" fillId="0" borderId="11" xfId="0" applyBorder="1"/>
    <xf numFmtId="0" fontId="5" fillId="0" borderId="4" xfId="0" applyFont="1" applyBorder="1"/>
    <xf numFmtId="0" fontId="5" fillId="0" borderId="11" xfId="0" applyFont="1" applyBorder="1"/>
    <xf numFmtId="0" fontId="15" fillId="0" borderId="2" xfId="0" applyFont="1" applyBorder="1"/>
    <xf numFmtId="0" fontId="25" fillId="0" borderId="18" xfId="0" applyFont="1" applyBorder="1"/>
    <xf numFmtId="0" fontId="26" fillId="0" borderId="0" xfId="0" applyFont="1"/>
    <xf numFmtId="0" fontId="4" fillId="0" borderId="20" xfId="0" applyFont="1" applyBorder="1" applyAlignment="1">
      <alignment horizontal="center"/>
    </xf>
    <xf numFmtId="0" fontId="27" fillId="0" borderId="2" xfId="0" applyFont="1" applyBorder="1"/>
    <xf numFmtId="164" fontId="0" fillId="0" borderId="0" xfId="0" applyNumberFormat="1"/>
    <xf numFmtId="2" fontId="5" fillId="0" borderId="0" xfId="0" applyNumberFormat="1" applyFont="1" applyAlignment="1">
      <alignment horizontal="right"/>
    </xf>
    <xf numFmtId="0" fontId="4" fillId="0" borderId="11" xfId="0" applyFont="1" applyBorder="1"/>
    <xf numFmtId="0" fontId="13" fillId="0" borderId="11" xfId="0" applyFont="1" applyBorder="1" applyAlignment="1">
      <alignment horizontal="center"/>
    </xf>
    <xf numFmtId="164" fontId="18" fillId="0" borderId="0" xfId="0" applyNumberFormat="1" applyFont="1"/>
    <xf numFmtId="0" fontId="1" fillId="0" borderId="11" xfId="0" applyFont="1" applyBorder="1"/>
    <xf numFmtId="2" fontId="5" fillId="0" borderId="11" xfId="0" applyNumberFormat="1" applyFont="1" applyBorder="1"/>
    <xf numFmtId="0" fontId="1" fillId="3" borderId="5" xfId="0" applyFont="1" applyFill="1" applyBorder="1"/>
    <xf numFmtId="0" fontId="1" fillId="3" borderId="3" xfId="0" applyFont="1" applyFill="1" applyBorder="1"/>
    <xf numFmtId="2" fontId="1" fillId="3" borderId="0" xfId="0" applyNumberFormat="1" applyFont="1" applyFill="1"/>
    <xf numFmtId="0" fontId="1" fillId="3" borderId="17" xfId="0" applyFont="1" applyFill="1" applyBorder="1"/>
    <xf numFmtId="0" fontId="0" fillId="0" borderId="18" xfId="0" applyBorder="1"/>
    <xf numFmtId="0" fontId="3" fillId="0" borderId="4" xfId="0" applyFont="1" applyBorder="1"/>
    <xf numFmtId="0" fontId="12" fillId="0" borderId="2" xfId="0" applyFont="1" applyBorder="1"/>
    <xf numFmtId="0" fontId="5" fillId="0" borderId="11" xfId="0" applyFont="1" applyBorder="1" applyAlignment="1">
      <alignment horizontal="center"/>
    </xf>
    <xf numFmtId="15" fontId="25" fillId="0" borderId="18" xfId="0" applyNumberFormat="1" applyFont="1" applyBorder="1"/>
    <xf numFmtId="15" fontId="0" fillId="0" borderId="11" xfId="0" applyNumberFormat="1" applyBorder="1"/>
    <xf numFmtId="15" fontId="0" fillId="0" borderId="19" xfId="0" applyNumberFormat="1" applyBorder="1"/>
    <xf numFmtId="1" fontId="1" fillId="3" borderId="0" xfId="0" applyNumberFormat="1" applyFont="1" applyFill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15" fillId="0" borderId="0" xfId="0" applyFont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165" fontId="1" fillId="4" borderId="0" xfId="0" applyNumberFormat="1" applyFont="1" applyFill="1"/>
    <xf numFmtId="0" fontId="1" fillId="4" borderId="0" xfId="0" applyFont="1" applyFill="1"/>
    <xf numFmtId="1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2" fontId="1" fillId="4" borderId="0" xfId="0" applyNumberFormat="1" applyFont="1" applyFill="1"/>
    <xf numFmtId="0" fontId="1" fillId="4" borderId="2" xfId="0" applyFont="1" applyFill="1" applyBorder="1"/>
    <xf numFmtId="0" fontId="1" fillId="0" borderId="0" xfId="0" applyFont="1" applyFill="1"/>
  </cellXfs>
  <cellStyles count="1">
    <cellStyle name="Standard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1:W148"/>
  <sheetViews>
    <sheetView topLeftCell="A24" zoomScale="85" zoomScaleNormal="85" workbookViewId="0">
      <selection activeCell="C37" sqref="C37"/>
    </sheetView>
  </sheetViews>
  <sheetFormatPr baseColWidth="10" defaultRowHeight="15" x14ac:dyDescent="0.25"/>
  <cols>
    <col min="2" max="2" width="16.140625" customWidth="1"/>
    <col min="9" max="9" width="16.42578125" bestFit="1" customWidth="1"/>
    <col min="10" max="11" width="12.42578125" bestFit="1" customWidth="1"/>
    <col min="14" max="14" width="13.28515625" customWidth="1"/>
    <col min="19" max="19" width="16.7109375" customWidth="1"/>
  </cols>
  <sheetData>
    <row r="1" spans="2:8" ht="15.75" thickBot="1" x14ac:dyDescent="0.3"/>
    <row r="2" spans="2:8" x14ac:dyDescent="0.25">
      <c r="B2" s="31" t="s">
        <v>376</v>
      </c>
      <c r="C2" s="100"/>
      <c r="D2" s="32"/>
      <c r="E2" s="32"/>
      <c r="F2" s="32"/>
      <c r="G2" s="32"/>
      <c r="H2" s="33"/>
    </row>
    <row r="3" spans="2:8" x14ac:dyDescent="0.25">
      <c r="B3" s="23" t="s">
        <v>0</v>
      </c>
      <c r="C3" s="106">
        <v>21</v>
      </c>
      <c r="D3" t="s">
        <v>5</v>
      </c>
      <c r="H3" s="24"/>
    </row>
    <row r="4" spans="2:8" x14ac:dyDescent="0.25">
      <c r="B4" s="23" t="s">
        <v>178</v>
      </c>
      <c r="C4" s="106">
        <v>24</v>
      </c>
      <c r="D4" t="s">
        <v>5</v>
      </c>
      <c r="H4" s="24"/>
    </row>
    <row r="5" spans="2:8" x14ac:dyDescent="0.25">
      <c r="B5" s="23" t="s">
        <v>89</v>
      </c>
      <c r="C5" s="106">
        <v>1.5</v>
      </c>
      <c r="D5" t="s">
        <v>5</v>
      </c>
      <c r="E5" t="s">
        <v>335</v>
      </c>
      <c r="H5" s="24"/>
    </row>
    <row r="6" spans="2:8" x14ac:dyDescent="0.25">
      <c r="B6" s="23" t="s">
        <v>307</v>
      </c>
      <c r="C6" s="106">
        <v>3</v>
      </c>
      <c r="D6" t="s">
        <v>5</v>
      </c>
      <c r="E6" t="s">
        <v>334</v>
      </c>
      <c r="H6" s="24"/>
    </row>
    <row r="7" spans="2:8" x14ac:dyDescent="0.25">
      <c r="B7" s="23" t="s">
        <v>179</v>
      </c>
      <c r="C7" s="106">
        <v>6</v>
      </c>
      <c r="D7" t="s">
        <v>5</v>
      </c>
      <c r="E7" t="s">
        <v>180</v>
      </c>
      <c r="H7" s="24"/>
    </row>
    <row r="8" spans="2:8" x14ac:dyDescent="0.25">
      <c r="B8" s="23" t="s">
        <v>30</v>
      </c>
      <c r="C8" s="5">
        <f>COUNT(C24:C32)</f>
        <v>6</v>
      </c>
      <c r="H8" s="24"/>
    </row>
    <row r="9" spans="2:8" x14ac:dyDescent="0.25">
      <c r="B9" s="26"/>
      <c r="H9" s="24"/>
    </row>
    <row r="10" spans="2:8" ht="15.75" thickBot="1" x14ac:dyDescent="0.3">
      <c r="B10" s="110" t="s">
        <v>6</v>
      </c>
      <c r="C10" s="178">
        <f>9.81</f>
        <v>9.81</v>
      </c>
      <c r="D10" s="29" t="s">
        <v>7</v>
      </c>
      <c r="E10" s="29"/>
      <c r="F10" s="29"/>
      <c r="G10" s="29"/>
      <c r="H10" s="30"/>
    </row>
    <row r="11" spans="2:8" ht="15.75" thickBot="1" x14ac:dyDescent="0.3">
      <c r="C11" s="4"/>
    </row>
    <row r="12" spans="2:8" x14ac:dyDescent="0.25">
      <c r="B12" s="31" t="s">
        <v>247</v>
      </c>
      <c r="C12" s="100"/>
      <c r="D12" s="32"/>
      <c r="E12" s="32"/>
      <c r="F12" s="32"/>
      <c r="G12" s="33"/>
    </row>
    <row r="13" spans="2:8" x14ac:dyDescent="0.25">
      <c r="B13" s="23"/>
      <c r="C13" s="101" t="s">
        <v>136</v>
      </c>
      <c r="D13" s="102" t="s">
        <v>137</v>
      </c>
      <c r="E13" s="102" t="s">
        <v>138</v>
      </c>
      <c r="F13" s="102" t="s">
        <v>312</v>
      </c>
      <c r="G13" s="103" t="s">
        <v>139</v>
      </c>
    </row>
    <row r="14" spans="2:8" x14ac:dyDescent="0.25">
      <c r="B14" s="104" t="s">
        <v>135</v>
      </c>
      <c r="C14" s="106">
        <v>1.35</v>
      </c>
      <c r="D14" s="114">
        <v>1.5</v>
      </c>
      <c r="E14" s="106">
        <v>1.5</v>
      </c>
      <c r="F14" s="106">
        <v>1.5</v>
      </c>
      <c r="G14" s="24"/>
    </row>
    <row r="15" spans="2:8" ht="18" x14ac:dyDescent="0.35">
      <c r="B15" s="104" t="s">
        <v>248</v>
      </c>
      <c r="C15" s="4"/>
      <c r="D15" s="114">
        <v>0.7</v>
      </c>
      <c r="E15" s="114">
        <v>0.6</v>
      </c>
      <c r="F15" s="106">
        <v>0.5</v>
      </c>
      <c r="G15" s="24"/>
    </row>
    <row r="16" spans="2:8" s="22" customFormat="1" ht="18" x14ac:dyDescent="0.35">
      <c r="B16" s="104" t="s">
        <v>249</v>
      </c>
      <c r="C16" s="4"/>
      <c r="D16" s="114">
        <v>0.5</v>
      </c>
      <c r="E16" s="114">
        <v>0.2</v>
      </c>
      <c r="F16" s="114">
        <v>0.2</v>
      </c>
      <c r="G16" s="99"/>
    </row>
    <row r="17" spans="2:22" ht="18" x14ac:dyDescent="0.35">
      <c r="B17" s="104" t="s">
        <v>250</v>
      </c>
      <c r="C17" s="4"/>
      <c r="D17" s="114">
        <v>0.3</v>
      </c>
      <c r="E17" s="114">
        <v>0</v>
      </c>
      <c r="F17" s="114">
        <v>0</v>
      </c>
      <c r="G17" s="24"/>
    </row>
    <row r="18" spans="2:22" x14ac:dyDescent="0.25">
      <c r="B18" s="104" t="s">
        <v>140</v>
      </c>
      <c r="C18" s="4"/>
      <c r="D18" s="106">
        <v>1</v>
      </c>
      <c r="E18" s="4"/>
      <c r="G18" s="49"/>
    </row>
    <row r="19" spans="2:22" ht="18.75" thickBot="1" x14ac:dyDescent="0.4">
      <c r="B19" s="105" t="s">
        <v>251</v>
      </c>
      <c r="C19" s="37"/>
      <c r="D19" s="38">
        <f>D18*D17</f>
        <v>0.3</v>
      </c>
      <c r="E19" s="29"/>
      <c r="F19" s="29"/>
      <c r="G19" s="30"/>
    </row>
    <row r="20" spans="2:22" ht="15.75" thickBot="1" x14ac:dyDescent="0.3"/>
    <row r="21" spans="2:22" x14ac:dyDescent="0.25">
      <c r="B21" s="31" t="s">
        <v>149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3"/>
      <c r="S21" s="31" t="s">
        <v>317</v>
      </c>
      <c r="T21" s="32"/>
      <c r="U21" s="32"/>
      <c r="V21" s="33"/>
    </row>
    <row r="22" spans="2:22" x14ac:dyDescent="0.25">
      <c r="B22" s="23"/>
      <c r="I22" s="2" t="s">
        <v>142</v>
      </c>
      <c r="J22" s="2"/>
      <c r="L22" s="2"/>
      <c r="M22" s="2"/>
      <c r="N22" s="2" t="s">
        <v>143</v>
      </c>
      <c r="O22" s="2"/>
      <c r="Q22" s="43"/>
      <c r="S22" s="23"/>
      <c r="V22" s="24"/>
    </row>
    <row r="23" spans="2:22" x14ac:dyDescent="0.25">
      <c r="B23" s="26" t="s">
        <v>3</v>
      </c>
      <c r="C23" s="2" t="s">
        <v>1</v>
      </c>
      <c r="D23" s="2" t="s">
        <v>2</v>
      </c>
      <c r="E23" s="2" t="s">
        <v>316</v>
      </c>
      <c r="F23" s="2" t="s">
        <v>33</v>
      </c>
      <c r="G23" s="2" t="s">
        <v>34</v>
      </c>
      <c r="I23" s="2" t="s">
        <v>328</v>
      </c>
      <c r="J23" s="2" t="s">
        <v>374</v>
      </c>
      <c r="K23" s="2" t="s">
        <v>373</v>
      </c>
      <c r="L23" s="3" t="s">
        <v>375</v>
      </c>
      <c r="N23" s="2" t="s">
        <v>309</v>
      </c>
      <c r="O23" s="2" t="s">
        <v>310</v>
      </c>
      <c r="P23" s="2" t="s">
        <v>311</v>
      </c>
      <c r="Q23" s="35" t="s">
        <v>141</v>
      </c>
      <c r="S23" s="23" t="s">
        <v>319</v>
      </c>
      <c r="T23" t="s">
        <v>318</v>
      </c>
      <c r="U23" s="106">
        <v>0.85</v>
      </c>
      <c r="V23" s="24" t="s">
        <v>320</v>
      </c>
    </row>
    <row r="24" spans="2:22" x14ac:dyDescent="0.25">
      <c r="B24" s="23">
        <v>1</v>
      </c>
      <c r="C24" s="106">
        <v>7.5</v>
      </c>
      <c r="D24" s="106">
        <v>3</v>
      </c>
      <c r="E24" s="5">
        <f t="shared" ref="E24:E32" si="0">IF(C24&lt;&gt;"", IF(G24=MAX($G$24:$G$32), $U$29, 0), "")</f>
        <v>0</v>
      </c>
      <c r="F24" s="106">
        <v>3.5</v>
      </c>
      <c r="G24" s="5">
        <f>IF(C24&lt;&gt;"", SUM($F$24:F24), "")</f>
        <v>3.5</v>
      </c>
      <c r="I24" s="5">
        <f>IF(C24&lt;&gt;"", $C$14*C24+$D$14*D24+$F$14*$F$15*E24, "")</f>
        <v>14.625</v>
      </c>
      <c r="J24" s="5">
        <f>IF(C24&lt;&gt;"", $C$14*C24 + $D$14*$D$15*D24 + $F$14*$F$15*E24, "")</f>
        <v>13.274999999999999</v>
      </c>
      <c r="K24" s="5">
        <f>IF(C24&lt;&gt;"", $C$14*C24 + $D$14*$D$15*D24 + $F$14*E24, "")</f>
        <v>13.274999999999999</v>
      </c>
      <c r="L24" s="5">
        <f t="shared" ref="L24:L32" si="1">IF(C24&lt;&gt;"", C24+$D$19*D24, "")</f>
        <v>8.4</v>
      </c>
      <c r="N24" s="5">
        <f t="shared" ref="N24:N32" si="2">IF(C24&lt;&gt;"", I24*$C$5, "")</f>
        <v>21.9375</v>
      </c>
      <c r="O24" s="5">
        <f>IF(C24&lt;&gt;"", J24*$C$5, "")</f>
        <v>19.912499999999998</v>
      </c>
      <c r="P24" s="5">
        <f>IF(C24&lt;&gt;"", K24*$C$5, "")</f>
        <v>19.912499999999998</v>
      </c>
      <c r="Q24" s="36">
        <f t="shared" ref="Q24:Q32" si="3">IF(C24&lt;&gt;"", L24*$C$5, "")</f>
        <v>12.600000000000001</v>
      </c>
      <c r="S24" s="23" t="s">
        <v>321</v>
      </c>
      <c r="T24" s="1" t="s">
        <v>74</v>
      </c>
      <c r="U24" s="106">
        <v>4</v>
      </c>
      <c r="V24" s="24" t="s">
        <v>322</v>
      </c>
    </row>
    <row r="25" spans="2:22" x14ac:dyDescent="0.25">
      <c r="B25" s="23">
        <v>2</v>
      </c>
      <c r="C25" s="106">
        <v>7.5</v>
      </c>
      <c r="D25" s="106">
        <v>3</v>
      </c>
      <c r="E25" s="5">
        <f t="shared" si="0"/>
        <v>0</v>
      </c>
      <c r="F25" s="106">
        <v>3.5</v>
      </c>
      <c r="G25" s="5">
        <f>IF(C25&lt;&gt;"", SUM($F$24:F25), "")</f>
        <v>7</v>
      </c>
      <c r="I25" s="5">
        <f t="shared" ref="I25:I32" si="4">IF(C25&lt;&gt;"", $C$14*C25+$D$14*D25+$F$14*$F$15*E25, "")</f>
        <v>14.625</v>
      </c>
      <c r="J25" s="5">
        <f t="shared" ref="J25:J32" si="5">IF(C25&lt;&gt;"", $C$14*C25 + $D$14*$D$15*D25 + $F$14*$F$15*E25, "")</f>
        <v>13.274999999999999</v>
      </c>
      <c r="K25" s="5">
        <f t="shared" ref="K25:K32" si="6">IF(C25&lt;&gt;"", $C$14*C25 + $D$14*$D$15*D25 + $F$14*E25, "")</f>
        <v>13.274999999999999</v>
      </c>
      <c r="L25" s="5">
        <f t="shared" si="1"/>
        <v>8.4</v>
      </c>
      <c r="N25" s="5">
        <f t="shared" si="2"/>
        <v>21.9375</v>
      </c>
      <c r="O25" s="5">
        <f t="shared" ref="O25:O32" si="7">IF(C25&lt;&gt;"", J25*$C$5, "")</f>
        <v>19.912499999999998</v>
      </c>
      <c r="P25" s="5">
        <f t="shared" ref="P25:P32" si="8">IF(C25&lt;&gt;"", K25*$C$5, "")</f>
        <v>19.912499999999998</v>
      </c>
      <c r="Q25" s="36">
        <f t="shared" si="3"/>
        <v>12.600000000000001</v>
      </c>
      <c r="S25" s="23"/>
      <c r="T25" t="s">
        <v>323</v>
      </c>
      <c r="U25" s="180">
        <v>1</v>
      </c>
      <c r="V25" s="24"/>
    </row>
    <row r="26" spans="2:22" x14ac:dyDescent="0.25">
      <c r="B26" s="23">
        <v>3</v>
      </c>
      <c r="C26" s="106">
        <v>7.5</v>
      </c>
      <c r="D26" s="106">
        <v>3</v>
      </c>
      <c r="E26" s="5">
        <f t="shared" si="0"/>
        <v>0</v>
      </c>
      <c r="F26" s="106">
        <v>3.5</v>
      </c>
      <c r="G26" s="5">
        <f>IF(C26&lt;&gt;"", SUM($F$24:F26), "")</f>
        <v>10.5</v>
      </c>
      <c r="I26" s="5">
        <f t="shared" si="4"/>
        <v>14.625</v>
      </c>
      <c r="J26" s="5">
        <f t="shared" si="5"/>
        <v>13.274999999999999</v>
      </c>
      <c r="K26" s="5">
        <f>IF(C26&lt;&gt;"", $C$14*C26 + $D$14*$D$15*D26 + $F$14*E26, "")</f>
        <v>13.274999999999999</v>
      </c>
      <c r="L26" s="5">
        <f t="shared" si="1"/>
        <v>8.4</v>
      </c>
      <c r="N26" s="5">
        <f t="shared" si="2"/>
        <v>21.9375</v>
      </c>
      <c r="O26" s="5">
        <f t="shared" si="7"/>
        <v>19.912499999999998</v>
      </c>
      <c r="P26" s="5">
        <f t="shared" si="8"/>
        <v>19.912499999999998</v>
      </c>
      <c r="Q26" s="36">
        <f t="shared" si="3"/>
        <v>12.600000000000001</v>
      </c>
      <c r="S26" s="23"/>
      <c r="T26" t="s">
        <v>324</v>
      </c>
      <c r="U26" s="180">
        <v>1</v>
      </c>
      <c r="V26" s="24"/>
    </row>
    <row r="27" spans="2:22" x14ac:dyDescent="0.25">
      <c r="B27" s="23">
        <v>4</v>
      </c>
      <c r="C27" s="106">
        <v>7.5</v>
      </c>
      <c r="D27" s="106">
        <v>3</v>
      </c>
      <c r="E27" s="5">
        <f t="shared" si="0"/>
        <v>0</v>
      </c>
      <c r="F27" s="106">
        <v>3.5</v>
      </c>
      <c r="G27" s="5">
        <f>IF(C27&lt;&gt;"", SUM($F$24:F27), "")</f>
        <v>14</v>
      </c>
      <c r="I27" s="5">
        <f t="shared" si="4"/>
        <v>14.625</v>
      </c>
      <c r="J27" s="5">
        <f t="shared" si="5"/>
        <v>13.274999999999999</v>
      </c>
      <c r="K27" s="5">
        <f t="shared" si="6"/>
        <v>13.274999999999999</v>
      </c>
      <c r="L27" s="5">
        <f t="shared" si="1"/>
        <v>8.4</v>
      </c>
      <c r="N27" s="5">
        <f t="shared" si="2"/>
        <v>21.9375</v>
      </c>
      <c r="O27" s="5">
        <f t="shared" si="7"/>
        <v>19.912499999999998</v>
      </c>
      <c r="P27" s="5">
        <f t="shared" si="8"/>
        <v>19.912499999999998</v>
      </c>
      <c r="Q27" s="36">
        <f t="shared" si="3"/>
        <v>12.600000000000001</v>
      </c>
      <c r="S27" s="23"/>
      <c r="V27" s="24"/>
    </row>
    <row r="28" spans="2:22" ht="18" x14ac:dyDescent="0.35">
      <c r="B28" s="23">
        <v>5</v>
      </c>
      <c r="C28" s="106">
        <v>7.5</v>
      </c>
      <c r="D28" s="106">
        <v>3</v>
      </c>
      <c r="E28" s="5">
        <f t="shared" si="0"/>
        <v>0</v>
      </c>
      <c r="F28" s="106">
        <v>3.5</v>
      </c>
      <c r="G28" s="5">
        <f>IF(C28&lt;&gt;"", SUM($F$24:F28), "")</f>
        <v>17.5</v>
      </c>
      <c r="I28" s="5">
        <f t="shared" si="4"/>
        <v>14.625</v>
      </c>
      <c r="J28" s="5">
        <f t="shared" si="5"/>
        <v>13.274999999999999</v>
      </c>
      <c r="K28" s="5">
        <f t="shared" si="6"/>
        <v>13.274999999999999</v>
      </c>
      <c r="L28" s="5">
        <f t="shared" si="1"/>
        <v>8.4</v>
      </c>
      <c r="N28" s="5">
        <f t="shared" si="2"/>
        <v>21.9375</v>
      </c>
      <c r="O28" s="5">
        <f t="shared" si="7"/>
        <v>19.912499999999998</v>
      </c>
      <c r="P28" s="5">
        <f t="shared" si="8"/>
        <v>19.912499999999998</v>
      </c>
      <c r="Q28" s="36">
        <f t="shared" si="3"/>
        <v>12.600000000000001</v>
      </c>
      <c r="S28" s="23" t="s">
        <v>325</v>
      </c>
      <c r="T28" s="1" t="s">
        <v>326</v>
      </c>
      <c r="U28" s="5">
        <f>IF(U24&lt;30, 0.8, IF(U24&lt;60, 0.8*(60-U24)/30, 0))</f>
        <v>0.8</v>
      </c>
      <c r="V28" s="24" t="s">
        <v>320</v>
      </c>
    </row>
    <row r="29" spans="2:22" x14ac:dyDescent="0.25">
      <c r="B29" s="23">
        <v>6</v>
      </c>
      <c r="C29" s="106">
        <v>7.5</v>
      </c>
      <c r="D29" s="106">
        <v>0</v>
      </c>
      <c r="E29" s="5">
        <f t="shared" si="0"/>
        <v>0.68</v>
      </c>
      <c r="F29" s="106">
        <v>3.5</v>
      </c>
      <c r="G29" s="5">
        <f>IF(C29&lt;&gt;"", SUM($F$24:F29), "")</f>
        <v>21</v>
      </c>
      <c r="I29" s="5">
        <f t="shared" si="4"/>
        <v>10.635</v>
      </c>
      <c r="J29" s="5">
        <f t="shared" si="5"/>
        <v>10.635</v>
      </c>
      <c r="K29" s="5">
        <f t="shared" si="6"/>
        <v>11.145</v>
      </c>
      <c r="L29" s="5">
        <f t="shared" si="1"/>
        <v>7.5</v>
      </c>
      <c r="N29" s="5">
        <f t="shared" si="2"/>
        <v>15.952500000000001</v>
      </c>
      <c r="O29" s="5">
        <f t="shared" si="7"/>
        <v>15.952500000000001</v>
      </c>
      <c r="P29" s="5">
        <f t="shared" si="8"/>
        <v>16.717500000000001</v>
      </c>
      <c r="Q29" s="36">
        <f t="shared" si="3"/>
        <v>11.25</v>
      </c>
      <c r="S29" s="23" t="s">
        <v>327</v>
      </c>
      <c r="T29" s="1" t="s">
        <v>8</v>
      </c>
      <c r="U29" s="5">
        <f>U28*U25*U26*U23</f>
        <v>0.68</v>
      </c>
      <c r="V29" s="24" t="s">
        <v>320</v>
      </c>
    </row>
    <row r="30" spans="2:22" x14ac:dyDescent="0.25">
      <c r="B30" s="23">
        <v>7</v>
      </c>
      <c r="C30" s="106"/>
      <c r="D30" s="106"/>
      <c r="E30" s="5" t="str">
        <f t="shared" si="0"/>
        <v/>
      </c>
      <c r="F30" s="106"/>
      <c r="G30" s="5" t="str">
        <f>IF(C30&lt;&gt;"", SUM($F$24:F30), "")</f>
        <v/>
      </c>
      <c r="I30" s="5" t="str">
        <f t="shared" si="4"/>
        <v/>
      </c>
      <c r="J30" s="5" t="str">
        <f t="shared" si="5"/>
        <v/>
      </c>
      <c r="K30" s="5" t="str">
        <f t="shared" si="6"/>
        <v/>
      </c>
      <c r="L30" s="5" t="str">
        <f t="shared" si="1"/>
        <v/>
      </c>
      <c r="N30" s="5" t="str">
        <f t="shared" si="2"/>
        <v/>
      </c>
      <c r="O30" s="5" t="str">
        <f t="shared" si="7"/>
        <v/>
      </c>
      <c r="P30" s="5" t="str">
        <f t="shared" si="8"/>
        <v/>
      </c>
      <c r="Q30" s="36" t="str">
        <f t="shared" si="3"/>
        <v/>
      </c>
      <c r="S30" s="23"/>
      <c r="V30" s="24"/>
    </row>
    <row r="31" spans="2:22" x14ac:dyDescent="0.25">
      <c r="B31" s="23">
        <v>8</v>
      </c>
      <c r="C31" s="106"/>
      <c r="D31" s="106"/>
      <c r="E31" s="5" t="str">
        <f t="shared" si="0"/>
        <v/>
      </c>
      <c r="F31" s="106"/>
      <c r="G31" s="5" t="str">
        <f>IF(C31&lt;&gt;"", SUM($F$24:F31), "")</f>
        <v/>
      </c>
      <c r="I31" s="5" t="str">
        <f t="shared" si="4"/>
        <v/>
      </c>
      <c r="J31" s="5" t="str">
        <f t="shared" si="5"/>
        <v/>
      </c>
      <c r="K31" s="5" t="str">
        <f t="shared" si="6"/>
        <v/>
      </c>
      <c r="L31" s="5" t="str">
        <f t="shared" si="1"/>
        <v/>
      </c>
      <c r="N31" s="5" t="str">
        <f t="shared" si="2"/>
        <v/>
      </c>
      <c r="O31" s="5" t="str">
        <f t="shared" si="7"/>
        <v/>
      </c>
      <c r="P31" s="5" t="str">
        <f t="shared" si="8"/>
        <v/>
      </c>
      <c r="Q31" s="36" t="str">
        <f t="shared" si="3"/>
        <v/>
      </c>
      <c r="S31" s="23"/>
      <c r="V31" s="24"/>
    </row>
    <row r="32" spans="2:22" ht="15.75" thickBot="1" x14ac:dyDescent="0.3">
      <c r="B32" s="23">
        <v>9</v>
      </c>
      <c r="C32" s="106"/>
      <c r="D32" s="106"/>
      <c r="E32" s="5" t="str">
        <f t="shared" si="0"/>
        <v/>
      </c>
      <c r="F32" s="106"/>
      <c r="G32" s="5" t="str">
        <f>IF(C32&lt;&gt;"", SUM($F$24:F32), "")</f>
        <v/>
      </c>
      <c r="I32" s="5" t="str">
        <f t="shared" si="4"/>
        <v/>
      </c>
      <c r="J32" s="5" t="str">
        <f t="shared" si="5"/>
        <v/>
      </c>
      <c r="K32" s="5" t="str">
        <f t="shared" si="6"/>
        <v/>
      </c>
      <c r="L32" s="5" t="str">
        <f t="shared" si="1"/>
        <v/>
      </c>
      <c r="N32" s="5" t="str">
        <f t="shared" si="2"/>
        <v/>
      </c>
      <c r="O32" s="5" t="str">
        <f t="shared" si="7"/>
        <v/>
      </c>
      <c r="P32" s="5" t="str">
        <f t="shared" si="8"/>
        <v/>
      </c>
      <c r="Q32" s="36" t="str">
        <f t="shared" si="3"/>
        <v/>
      </c>
      <c r="S32" s="27"/>
      <c r="T32" s="29"/>
      <c r="U32" s="29"/>
      <c r="V32" s="30"/>
    </row>
    <row r="33" spans="2:23" ht="15.75" thickBot="1" x14ac:dyDescent="0.3">
      <c r="B33" s="27"/>
      <c r="C33" s="37"/>
      <c r="D33" s="37"/>
      <c r="E33" s="38"/>
      <c r="F33" s="37"/>
      <c r="G33" s="38"/>
      <c r="H33" s="29"/>
      <c r="I33" s="38"/>
      <c r="J33" s="38"/>
      <c r="K33" s="38"/>
      <c r="L33" s="38"/>
      <c r="M33" s="29"/>
      <c r="N33" s="38"/>
      <c r="O33" s="38"/>
      <c r="P33" s="38"/>
      <c r="Q33" s="39"/>
    </row>
    <row r="35" spans="2:23" ht="15.75" thickBot="1" x14ac:dyDescent="0.3"/>
    <row r="36" spans="2:23" x14ac:dyDescent="0.25">
      <c r="B36" s="31" t="s">
        <v>150</v>
      </c>
      <c r="C36" s="32"/>
      <c r="D36" s="32"/>
      <c r="E36" s="32"/>
      <c r="F36" s="32"/>
      <c r="G36" s="32"/>
      <c r="H36" s="32"/>
      <c r="I36" s="32"/>
      <c r="J36" s="33"/>
      <c r="L36" s="31" t="s">
        <v>151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3"/>
    </row>
    <row r="37" spans="2:23" x14ac:dyDescent="0.25">
      <c r="B37" s="23" t="s">
        <v>10</v>
      </c>
      <c r="C37" s="106">
        <v>0.44</v>
      </c>
      <c r="D37" t="s">
        <v>6</v>
      </c>
      <c r="J37" s="24"/>
      <c r="L37" s="25" t="s">
        <v>171</v>
      </c>
      <c r="M37" s="106">
        <v>1.25</v>
      </c>
      <c r="N37" t="s">
        <v>172</v>
      </c>
      <c r="Q37" s="130" t="s">
        <v>168</v>
      </c>
      <c r="R37" s="5">
        <f>0.19*(M44/0.05)^0.07</f>
        <v>0.19</v>
      </c>
      <c r="S37" s="130"/>
      <c r="W37" s="24"/>
    </row>
    <row r="38" spans="2:23" x14ac:dyDescent="0.25">
      <c r="B38" s="23" t="s">
        <v>11</v>
      </c>
      <c r="C38" s="106">
        <f>0.3*C37</f>
        <v>0.13200000000000001</v>
      </c>
      <c r="D38" t="s">
        <v>6</v>
      </c>
      <c r="J38" s="24"/>
      <c r="L38" s="95" t="s">
        <v>152</v>
      </c>
      <c r="M38" s="106">
        <v>2</v>
      </c>
      <c r="N38" s="130"/>
      <c r="O38" s="130"/>
      <c r="Q38" s="130" t="s">
        <v>169</v>
      </c>
      <c r="R38" s="5">
        <f>M39*M41*M42</f>
        <v>25</v>
      </c>
      <c r="S38" t="s">
        <v>154</v>
      </c>
      <c r="W38" s="24"/>
    </row>
    <row r="39" spans="2:23" x14ac:dyDescent="0.25">
      <c r="B39" s="23" t="s">
        <v>12</v>
      </c>
      <c r="C39" s="112" t="s">
        <v>13</v>
      </c>
      <c r="E39" s="117" t="s">
        <v>3</v>
      </c>
      <c r="F39" s="117" t="s">
        <v>4</v>
      </c>
      <c r="G39" s="117" t="s">
        <v>35</v>
      </c>
      <c r="H39" s="115"/>
      <c r="I39" s="117" t="s">
        <v>36</v>
      </c>
      <c r="J39" s="118" t="s">
        <v>32</v>
      </c>
      <c r="L39" s="95" t="s">
        <v>153</v>
      </c>
      <c r="M39" s="106">
        <v>25</v>
      </c>
      <c r="N39" s="130" t="s">
        <v>154</v>
      </c>
      <c r="O39" s="130"/>
      <c r="Q39" s="130" t="s">
        <v>175</v>
      </c>
      <c r="R39" s="8">
        <f>SUM(F24:F32)</f>
        <v>21</v>
      </c>
      <c r="S39" t="s">
        <v>5</v>
      </c>
      <c r="T39" t="s">
        <v>252</v>
      </c>
      <c r="W39" s="24"/>
    </row>
    <row r="40" spans="2:23" x14ac:dyDescent="0.25">
      <c r="B40" s="23" t="s">
        <v>14</v>
      </c>
      <c r="C40" s="106">
        <v>1</v>
      </c>
      <c r="E40">
        <v>1</v>
      </c>
      <c r="F40" s="5">
        <f>IF(C24&lt;&gt;"", L24*$C$3*$C$7, "")</f>
        <v>1058.4000000000001</v>
      </c>
      <c r="G40" s="6">
        <f t="shared" ref="G40:G48" si="9">IF(C24&lt;&gt;"", F40/$C$10, "")</f>
        <v>107.88990825688074</v>
      </c>
      <c r="I40" s="6">
        <f t="shared" ref="I40:I48" si="10">IF(C24&lt;&gt;"", G40*G24, "")</f>
        <v>377.61467889908261</v>
      </c>
      <c r="J40" s="62">
        <f t="shared" ref="J40:J48" si="11">IF(C24&lt;&gt;"", $C$70 * I40/$I$49, "")</f>
        <v>28.493600251520395</v>
      </c>
      <c r="L40" s="95" t="s">
        <v>155</v>
      </c>
      <c r="M40" s="106">
        <v>0.39</v>
      </c>
      <c r="N40" s="130" t="s">
        <v>154</v>
      </c>
      <c r="O40" s="130"/>
      <c r="Q40" s="130" t="s">
        <v>176</v>
      </c>
      <c r="R40" s="8">
        <f>C3</f>
        <v>21</v>
      </c>
      <c r="S40" t="s">
        <v>5</v>
      </c>
      <c r="W40" s="24"/>
    </row>
    <row r="41" spans="2:23" x14ac:dyDescent="0.25">
      <c r="B41" s="23" t="s">
        <v>15</v>
      </c>
      <c r="C41" s="106">
        <f>1.6*(1-0.2*C37)</f>
        <v>1.4592000000000001</v>
      </c>
      <c r="E41">
        <v>2</v>
      </c>
      <c r="F41" s="5">
        <f t="shared" ref="F41:F48" si="12">IF(C25&lt;&gt;"", L25*$C$3*$C$7, "")</f>
        <v>1058.4000000000001</v>
      </c>
      <c r="G41" s="6">
        <f t="shared" si="9"/>
        <v>107.88990825688074</v>
      </c>
      <c r="I41" s="6">
        <f t="shared" si="10"/>
        <v>755.22935779816521</v>
      </c>
      <c r="J41" s="62">
        <f t="shared" si="11"/>
        <v>56.987200503040789</v>
      </c>
      <c r="L41" s="95" t="s">
        <v>162</v>
      </c>
      <c r="M41" s="106">
        <v>1</v>
      </c>
      <c r="N41" s="130"/>
      <c r="O41" s="130"/>
      <c r="Q41" s="130" t="s">
        <v>110</v>
      </c>
      <c r="R41" s="5">
        <f>C4</f>
        <v>24</v>
      </c>
      <c r="S41" s="130" t="s">
        <v>5</v>
      </c>
      <c r="W41" s="24"/>
    </row>
    <row r="42" spans="2:23" x14ac:dyDescent="0.25">
      <c r="B42" s="23" t="s">
        <v>16</v>
      </c>
      <c r="C42" s="106">
        <f>2.3*(1-0.3*C38)</f>
        <v>2.20892</v>
      </c>
      <c r="E42">
        <v>3</v>
      </c>
      <c r="F42" s="5">
        <f t="shared" si="12"/>
        <v>1058.4000000000001</v>
      </c>
      <c r="G42" s="6">
        <f t="shared" si="9"/>
        <v>107.88990825688074</v>
      </c>
      <c r="I42" s="6">
        <f t="shared" si="10"/>
        <v>1132.8440366972477</v>
      </c>
      <c r="J42" s="62">
        <f t="shared" si="11"/>
        <v>85.480800754561173</v>
      </c>
      <c r="L42" s="95" t="s">
        <v>163</v>
      </c>
      <c r="M42" s="106">
        <v>1</v>
      </c>
      <c r="O42" s="130"/>
      <c r="Q42" s="130" t="s">
        <v>177</v>
      </c>
      <c r="R42" s="9">
        <f>R39/R40</f>
        <v>1</v>
      </c>
      <c r="W42" s="24"/>
    </row>
    <row r="43" spans="2:23" x14ac:dyDescent="0.25">
      <c r="B43" s="23"/>
      <c r="E43">
        <v>4</v>
      </c>
      <c r="F43" s="5">
        <f t="shared" si="12"/>
        <v>1058.4000000000001</v>
      </c>
      <c r="G43" s="6">
        <f t="shared" si="9"/>
        <v>107.88990825688074</v>
      </c>
      <c r="I43" s="6">
        <f t="shared" si="10"/>
        <v>1510.4587155963304</v>
      </c>
      <c r="J43" s="62">
        <f t="shared" si="11"/>
        <v>113.97440100608158</v>
      </c>
      <c r="L43" s="95" t="s">
        <v>164</v>
      </c>
      <c r="M43" s="106">
        <v>2</v>
      </c>
      <c r="N43" s="130"/>
      <c r="O43" s="130"/>
      <c r="Q43" s="130" t="s">
        <v>199</v>
      </c>
      <c r="R43" s="5">
        <f>R40/R41</f>
        <v>0.875</v>
      </c>
      <c r="W43" s="24"/>
    </row>
    <row r="44" spans="2:23" ht="18" x14ac:dyDescent="0.35">
      <c r="B44" s="23" t="s">
        <v>17</v>
      </c>
      <c r="C44" s="6">
        <f>C40*C41*C37</f>
        <v>0.64204800000000006</v>
      </c>
      <c r="E44">
        <v>5</v>
      </c>
      <c r="F44" s="5">
        <f t="shared" si="12"/>
        <v>1058.4000000000001</v>
      </c>
      <c r="G44" s="6">
        <f t="shared" si="9"/>
        <v>107.88990825688074</v>
      </c>
      <c r="I44" s="6">
        <f t="shared" si="10"/>
        <v>1888.0733944954131</v>
      </c>
      <c r="J44" s="62">
        <f t="shared" si="11"/>
        <v>142.46800125760197</v>
      </c>
      <c r="L44" s="95" t="s">
        <v>159</v>
      </c>
      <c r="M44" s="106">
        <v>0.05</v>
      </c>
      <c r="N44" s="130" t="s">
        <v>5</v>
      </c>
      <c r="O44" s="130"/>
      <c r="Q44" s="130" t="s">
        <v>203</v>
      </c>
      <c r="R44" s="9">
        <f>R39/R41</f>
        <v>0.875</v>
      </c>
      <c r="W44" s="24"/>
    </row>
    <row r="45" spans="2:23" ht="18" x14ac:dyDescent="0.35">
      <c r="B45" s="23" t="s">
        <v>18</v>
      </c>
      <c r="C45" s="6">
        <f>C40*C42*C38</f>
        <v>0.29157744000000002</v>
      </c>
      <c r="E45">
        <v>6</v>
      </c>
      <c r="F45" s="5">
        <f t="shared" si="12"/>
        <v>945</v>
      </c>
      <c r="G45" s="6">
        <f t="shared" si="9"/>
        <v>96.330275229357795</v>
      </c>
      <c r="I45" s="6">
        <f t="shared" si="10"/>
        <v>2022.9357798165138</v>
      </c>
      <c r="J45" s="62">
        <f t="shared" si="11"/>
        <v>152.64428706171637</v>
      </c>
      <c r="L45" s="95" t="s">
        <v>161</v>
      </c>
      <c r="M45" s="106">
        <v>2</v>
      </c>
      <c r="N45" s="130" t="s">
        <v>5</v>
      </c>
      <c r="O45" s="130"/>
      <c r="Q45" s="130" t="s">
        <v>156</v>
      </c>
      <c r="R45" s="9">
        <f>IF(R42&gt;=1, 0.8, IF(AND(R42&lt;1, R42&gt;0.25), 0.8-0.1333*R42, 0.7))</f>
        <v>0.8</v>
      </c>
      <c r="W45" s="24"/>
    </row>
    <row r="46" spans="2:23" x14ac:dyDescent="0.25">
      <c r="B46" s="23"/>
      <c r="E46">
        <v>7</v>
      </c>
      <c r="F46" s="5" t="str">
        <f t="shared" si="12"/>
        <v/>
      </c>
      <c r="G46" s="6" t="str">
        <f t="shared" si="9"/>
        <v/>
      </c>
      <c r="I46" s="6" t="str">
        <f t="shared" si="10"/>
        <v/>
      </c>
      <c r="J46" s="62" t="str">
        <f t="shared" si="11"/>
        <v/>
      </c>
      <c r="L46" s="95" t="s">
        <v>182</v>
      </c>
      <c r="M46" s="9">
        <f>0.67+0.05*LN(M44)</f>
        <v>0.52021338632230052</v>
      </c>
      <c r="N46" s="130"/>
      <c r="O46" s="130"/>
      <c r="Q46" s="130" t="s">
        <v>157</v>
      </c>
      <c r="R46" s="9">
        <f>IF(R42&gt;5, -0.7, IF(AND(R42&gt;1, R42&lt;=5), -0.7+0.05*(5-R42), IF(AND(R42&gt;0.25, R42&lt;=1), -0.5+0.2667*(1-R42), -0.3)))</f>
        <v>-0.5</v>
      </c>
      <c r="S46" s="130"/>
      <c r="W46" s="24"/>
    </row>
    <row r="47" spans="2:23" x14ac:dyDescent="0.25">
      <c r="B47" s="23" t="s">
        <v>24</v>
      </c>
      <c r="C47" s="106">
        <v>2.5</v>
      </c>
      <c r="E47">
        <v>8</v>
      </c>
      <c r="F47" s="5" t="str">
        <f t="shared" si="12"/>
        <v/>
      </c>
      <c r="G47" s="6" t="str">
        <f t="shared" si="9"/>
        <v/>
      </c>
      <c r="I47" s="6" t="str">
        <f t="shared" si="10"/>
        <v/>
      </c>
      <c r="J47" s="62" t="str">
        <f t="shared" si="11"/>
        <v/>
      </c>
      <c r="L47" s="95" t="s">
        <v>165</v>
      </c>
      <c r="M47" s="112" t="s">
        <v>166</v>
      </c>
      <c r="N47" s="130"/>
      <c r="O47" s="130"/>
      <c r="Q47" s="130" t="s">
        <v>191</v>
      </c>
      <c r="R47" s="9">
        <f>MAX(0.6*R39, M45)</f>
        <v>12.6</v>
      </c>
      <c r="S47" t="s">
        <v>5</v>
      </c>
      <c r="W47" s="24"/>
    </row>
    <row r="48" spans="2:23" x14ac:dyDescent="0.25">
      <c r="B48" s="25" t="s">
        <v>25</v>
      </c>
      <c r="C48" s="106">
        <v>4</v>
      </c>
      <c r="E48">
        <v>9</v>
      </c>
      <c r="F48" s="5" t="str">
        <f t="shared" si="12"/>
        <v/>
      </c>
      <c r="G48" s="6" t="str">
        <f t="shared" si="9"/>
        <v/>
      </c>
      <c r="I48" s="6" t="str">
        <f t="shared" si="10"/>
        <v/>
      </c>
      <c r="J48" s="62" t="str">
        <f t="shared" si="11"/>
        <v/>
      </c>
      <c r="L48" s="95" t="s">
        <v>158</v>
      </c>
      <c r="M48" s="106">
        <v>1</v>
      </c>
      <c r="N48" s="130"/>
      <c r="O48" s="130"/>
      <c r="Q48" s="130" t="s">
        <v>183</v>
      </c>
      <c r="R48" s="9">
        <f>IF(R47&gt;M45,300*(R47/200)^M46, 300*(M45/200)^M46)</f>
        <v>71.20690934676108</v>
      </c>
      <c r="W48" s="24"/>
    </row>
    <row r="49" spans="2:23" x14ac:dyDescent="0.25">
      <c r="B49" s="23" t="s">
        <v>19</v>
      </c>
      <c r="C49" s="106">
        <v>0.02</v>
      </c>
      <c r="E49" s="122" t="s">
        <v>148</v>
      </c>
      <c r="F49" s="7">
        <f>SUM(F40:F48)</f>
        <v>6237</v>
      </c>
      <c r="G49" s="7">
        <f>SUM(G40:G48)</f>
        <v>635.77981651376149</v>
      </c>
      <c r="H49" s="7"/>
      <c r="I49" s="7">
        <f t="shared" ref="I49:J49" si="13">SUM(I40:I48)</f>
        <v>7687.1559633027528</v>
      </c>
      <c r="J49" s="96">
        <f t="shared" si="13"/>
        <v>580.04829083452228</v>
      </c>
      <c r="L49" s="95" t="s">
        <v>160</v>
      </c>
      <c r="M49" s="106">
        <v>1</v>
      </c>
      <c r="N49" s="130"/>
      <c r="O49" s="130"/>
      <c r="Q49" s="130" t="s">
        <v>193</v>
      </c>
      <c r="R49" s="9">
        <f>IF(R47&lt;=$M$45, $R$37*LN($M$45/$M$44),  $R$37*LN(R47/$M$44))</f>
        <v>1.0505915266271704</v>
      </c>
      <c r="W49" s="24"/>
    </row>
    <row r="50" spans="2:23" x14ac:dyDescent="0.25">
      <c r="B50" s="23" t="s">
        <v>20</v>
      </c>
      <c r="C50" s="106">
        <f>IF((C51/C48) &lt; 0.05, C51/C48, IF((C51/C48) &lt; 0.01, 0.05, 0.1))</f>
        <v>0.1</v>
      </c>
      <c r="J50" s="24"/>
      <c r="L50" s="23"/>
      <c r="O50" s="130"/>
      <c r="Q50" s="130" t="s">
        <v>192</v>
      </c>
      <c r="R50" s="9">
        <f>R49*$M$48*$R$38</f>
        <v>26.26478816567926</v>
      </c>
      <c r="S50" t="s">
        <v>154</v>
      </c>
      <c r="W50" s="24"/>
    </row>
    <row r="51" spans="2:23" x14ac:dyDescent="0.25">
      <c r="B51" s="23" t="s">
        <v>21</v>
      </c>
      <c r="C51" s="6">
        <f>IF(C37=0, 0, C45/C44 * C53)</f>
        <v>0.45413651315789472</v>
      </c>
      <c r="E51" s="116" t="s">
        <v>38</v>
      </c>
      <c r="J51" s="24"/>
      <c r="L51" s="23"/>
      <c r="M51" s="19" t="s">
        <v>144</v>
      </c>
      <c r="N51" s="19" t="s">
        <v>145</v>
      </c>
      <c r="O51" s="19" t="s">
        <v>308</v>
      </c>
      <c r="Q51" s="130" t="s">
        <v>184</v>
      </c>
      <c r="R51" s="148">
        <f>1 / (1+3/2*SQRT((C4/R48)^2 + (R39/R48)^2 + (C4*R39/R48^2)^2))</f>
        <v>0.59237105153788505</v>
      </c>
      <c r="W51" s="24"/>
    </row>
    <row r="52" spans="2:23" x14ac:dyDescent="0.25">
      <c r="B52" s="23" t="s">
        <v>22</v>
      </c>
      <c r="C52" s="6">
        <f>IF(C38*C10 &lt;= 1, 2, 1+C38)</f>
        <v>1.1320000000000001</v>
      </c>
      <c r="E52" s="117" t="s">
        <v>3</v>
      </c>
      <c r="F52" s="117" t="s">
        <v>35</v>
      </c>
      <c r="G52" s="117" t="s">
        <v>37</v>
      </c>
      <c r="H52" s="117" t="s">
        <v>39</v>
      </c>
      <c r="I52" s="117" t="s">
        <v>40</v>
      </c>
      <c r="J52" s="119"/>
      <c r="L52" s="95" t="s">
        <v>181</v>
      </c>
      <c r="M52" s="9" t="e">
        <f>IF($R$39&lt;15, 1, (1+2*M54*$R$59*SQRT($R$51+M56))/(1+7*$R$59))</f>
        <v>#DIV/0!</v>
      </c>
      <c r="N52" s="9" t="e">
        <f>IF($R$39&lt;15, 1, (1+2*N54*$R$59*SQRT($R$51+N56))/(1+7*$R$59))</f>
        <v>#DIV/0!</v>
      </c>
      <c r="O52" s="9" t="e">
        <f>IF($R$39&lt;15, 1, (1+2*O54*$R$59*SQRT($R$51+O56))/(1+7*$R$59))</f>
        <v>#DIV/0!</v>
      </c>
      <c r="Q52" s="1" t="s">
        <v>196</v>
      </c>
      <c r="R52" s="106">
        <v>0.05</v>
      </c>
      <c r="W52" s="24"/>
    </row>
    <row r="53" spans="2:23" x14ac:dyDescent="0.25">
      <c r="B53" s="23" t="s">
        <v>23</v>
      </c>
      <c r="C53" s="106">
        <v>1</v>
      </c>
      <c r="E53">
        <v>1</v>
      </c>
      <c r="F53" s="6">
        <f>IF(C24&lt;&gt;"", G40, "")</f>
        <v>107.88990825688074</v>
      </c>
      <c r="G53" s="206">
        <v>4.82E-2</v>
      </c>
      <c r="H53" s="6">
        <f t="shared" ref="H53:H61" si="14">IF(C24&lt;&gt;"", F53*G53, "")</f>
        <v>5.2002935779816521</v>
      </c>
      <c r="I53" s="6">
        <f t="shared" ref="I53:I61" si="15">IF(C24&lt;&gt;"", F53*G53^2, "")</f>
        <v>0.25065415045871559</v>
      </c>
      <c r="J53" s="24"/>
      <c r="L53" s="23"/>
      <c r="Q53" s="1" t="s">
        <v>198</v>
      </c>
      <c r="R53" s="147">
        <f>R54*R57*R58</f>
        <v>1.4174946433194788</v>
      </c>
      <c r="W53" s="24"/>
    </row>
    <row r="54" spans="2:23" x14ac:dyDescent="0.25">
      <c r="B54" s="23" t="s">
        <v>27</v>
      </c>
      <c r="C54" s="106">
        <v>1</v>
      </c>
      <c r="E54">
        <v>2</v>
      </c>
      <c r="F54" s="6">
        <f>G41</f>
        <v>107.88990825688074</v>
      </c>
      <c r="G54" s="206">
        <v>9.5600000000000004E-2</v>
      </c>
      <c r="H54" s="6">
        <f t="shared" si="14"/>
        <v>10.314275229357799</v>
      </c>
      <c r="I54" s="6">
        <f t="shared" si="15"/>
        <v>0.9860447119266057</v>
      </c>
      <c r="J54" s="24"/>
      <c r="L54" s="25" t="s">
        <v>208</v>
      </c>
      <c r="M54" s="9" t="e">
        <f>MAX(3, SQRT(2*LN(M55*600))+0.6/(SQRT(2*LN(M55*600))))</f>
        <v>#DIV/0!</v>
      </c>
      <c r="N54" s="9" t="e">
        <f>MAX(3, SQRT(2*LN(N55*600))+0.6/(SQRT(2*LN(N55*600))))</f>
        <v>#DIV/0!</v>
      </c>
      <c r="O54" s="9" t="e">
        <f>MAX(3, SQRT(2*LN(O55*600))+0.6/(SQRT(2*LN(O55*600))))</f>
        <v>#DIV/0!</v>
      </c>
      <c r="Q54" s="1" t="s">
        <v>200</v>
      </c>
      <c r="R54" s="6">
        <f>IF(R43&lt;=0.2, 2, IF(R43&lt;=0.7, 0.3193*LN(R43)+2.5139, IF(R43&lt;=5, -0.7121*LN(R43)+2.146, IF(R43&lt;=10, -0.1443*LN(R43)+1.2322, 0.9))))</f>
        <v>2.2410877046879225</v>
      </c>
      <c r="W54" s="24"/>
    </row>
    <row r="55" spans="2:23" x14ac:dyDescent="0.25">
      <c r="B55" s="23" t="s">
        <v>42</v>
      </c>
      <c r="C55" s="106">
        <v>4</v>
      </c>
      <c r="E55">
        <v>3</v>
      </c>
      <c r="F55" s="6">
        <f>G42</f>
        <v>107.88990825688074</v>
      </c>
      <c r="G55" s="206">
        <v>0.14030000000000001</v>
      </c>
      <c r="H55" s="6">
        <f t="shared" si="14"/>
        <v>15.136954128440369</v>
      </c>
      <c r="I55" s="6">
        <f t="shared" si="15"/>
        <v>2.1237146642201838</v>
      </c>
      <c r="J55" s="24"/>
      <c r="L55" s="25" t="s">
        <v>313</v>
      </c>
      <c r="M55" s="9" t="e">
        <f>MAX(M67*SQRT(M56/($R$51+M56)), 0.08)</f>
        <v>#DIV/0!</v>
      </c>
      <c r="N55" s="9" t="e">
        <f t="shared" ref="N55" si="16">MAX(N67*SQRT(N56/($R$51+N56)), 0.08)</f>
        <v>#DIV/0!</v>
      </c>
      <c r="O55" s="9" t="e">
        <f>MAX(O67*SQRT(O56/($R$51+O56)), 0.08)</f>
        <v>#DIV/0!</v>
      </c>
      <c r="Q55" s="1" t="s">
        <v>204</v>
      </c>
      <c r="R55" s="6">
        <f>MAX(R39,R41)/MIN(R39,R41)</f>
        <v>1.1428571428571428</v>
      </c>
      <c r="W55" s="24"/>
    </row>
    <row r="56" spans="2:23" x14ac:dyDescent="0.25">
      <c r="B56" s="23" t="s">
        <v>43</v>
      </c>
      <c r="C56" s="206">
        <v>1.92</v>
      </c>
      <c r="E56">
        <v>4</v>
      </c>
      <c r="F56" s="6">
        <f>IF(C27&lt;&gt;"", G43, "")</f>
        <v>107.88990825688074</v>
      </c>
      <c r="G56" s="206"/>
      <c r="H56" s="6">
        <f t="shared" si="14"/>
        <v>0</v>
      </c>
      <c r="I56" s="6">
        <f t="shared" si="15"/>
        <v>0</v>
      </c>
      <c r="J56" s="24"/>
      <c r="L56" s="95" t="s">
        <v>185</v>
      </c>
      <c r="M56" s="9" t="e">
        <f>PI()^2/(2*M64)*M57*M59</f>
        <v>#DIV/0!</v>
      </c>
      <c r="N56" s="149" t="e">
        <f t="shared" ref="N56" si="17">PI()^2/(2*N64)*N57*N59</f>
        <v>#DIV/0!</v>
      </c>
      <c r="O56" s="9" t="e">
        <f>PI()^2/(2*O64)*O57*O59</f>
        <v>#DIV/0!</v>
      </c>
      <c r="Q56" t="s">
        <v>202</v>
      </c>
      <c r="R56" s="6">
        <f>IF(R39&gt;=50, 1.4*R55, IF(R39&lt;15, 2*R55, (2 - 3/175*(R39-15))*R55))</f>
        <v>2.1681632653061222</v>
      </c>
      <c r="W56" s="24"/>
    </row>
    <row r="57" spans="2:23" x14ac:dyDescent="0.25">
      <c r="B57" s="23" t="s">
        <v>44</v>
      </c>
      <c r="C57" s="206">
        <v>1.1000000000000001</v>
      </c>
      <c r="E57">
        <v>5</v>
      </c>
      <c r="F57" s="6">
        <f t="shared" ref="F57:F58" si="18">G44</f>
        <v>107.88990825688074</v>
      </c>
      <c r="G57" s="206"/>
      <c r="H57" s="6">
        <f t="shared" si="14"/>
        <v>0</v>
      </c>
      <c r="I57" s="6">
        <f t="shared" si="15"/>
        <v>0</v>
      </c>
      <c r="J57" s="24"/>
      <c r="L57" s="95" t="s">
        <v>186</v>
      </c>
      <c r="M57" s="147" t="e">
        <f>6.8*M58/(1+10.2*M58)^(5/3)</f>
        <v>#DIV/0!</v>
      </c>
      <c r="N57" s="131" t="e">
        <f>6.8*N58/(1+10.2*N58)^(5/3)</f>
        <v>#DIV/0!</v>
      </c>
      <c r="O57" s="9" t="e">
        <f>6.8*O58/(1+10.2*O58)^(5/3)</f>
        <v>#DIV/0!</v>
      </c>
      <c r="Q57" s="1" t="s">
        <v>201</v>
      </c>
      <c r="R57" s="147">
        <f>IF(R56&lt;=10, 0.6+0.042*LN(R56), 0.441+0.111*LN(R56))</f>
        <v>0.6325029762799349</v>
      </c>
      <c r="W57" s="24"/>
    </row>
    <row r="58" spans="2:23" x14ac:dyDescent="0.25">
      <c r="B58" s="23" t="s">
        <v>45</v>
      </c>
      <c r="C58" s="206">
        <v>1.5</v>
      </c>
      <c r="E58">
        <v>6</v>
      </c>
      <c r="F58" s="6">
        <f t="shared" si="18"/>
        <v>96.330275229357795</v>
      </c>
      <c r="G58" s="206"/>
      <c r="H58" s="6">
        <f t="shared" si="14"/>
        <v>0</v>
      </c>
      <c r="I58" s="6">
        <f t="shared" si="15"/>
        <v>0</v>
      </c>
      <c r="J58" s="24"/>
      <c r="L58" s="95" t="s">
        <v>195</v>
      </c>
      <c r="M58" s="9" t="e">
        <f>M67*$R$48/$R$50</f>
        <v>#DIV/0!</v>
      </c>
      <c r="N58" s="9" t="e">
        <f t="shared" ref="N58" si="19">N67*$R$48/$R$50</f>
        <v>#DIV/0!</v>
      </c>
      <c r="O58" s="9" t="e">
        <f>O67*$R$48/$R$50</f>
        <v>#DIV/0!</v>
      </c>
      <c r="Q58" s="1" t="s">
        <v>205</v>
      </c>
      <c r="R58" s="106">
        <v>1</v>
      </c>
      <c r="W58" s="24"/>
    </row>
    <row r="59" spans="2:23" x14ac:dyDescent="0.25">
      <c r="B59" s="23" t="s">
        <v>331</v>
      </c>
      <c r="C59" s="5">
        <f>C56*C57*C58</f>
        <v>3.1680000000000001</v>
      </c>
      <c r="E59">
        <v>7</v>
      </c>
      <c r="F59" s="6" t="str">
        <f>IF(C30&lt;&gt;"", G46, "")</f>
        <v/>
      </c>
      <c r="G59" s="106"/>
      <c r="H59" s="6" t="str">
        <f t="shared" si="14"/>
        <v/>
      </c>
      <c r="I59" s="6" t="str">
        <f t="shared" si="15"/>
        <v/>
      </c>
      <c r="J59" s="24"/>
      <c r="L59" s="95" t="s">
        <v>187</v>
      </c>
      <c r="M59" s="9" t="e">
        <f>1 / (1+SQRT((M60*M62)^2 + (M61*M63)^2+(2*M60*M61*M62*M63/PI())^2))</f>
        <v>#DIV/0!</v>
      </c>
      <c r="N59" s="9" t="e">
        <f>1 / (1+SQRT((N60*N62)^2 + (N61*N63)^2+(2*N60*N61*N62*N63/PI())^2))</f>
        <v>#DIV/0!</v>
      </c>
      <c r="O59" s="9" t="e">
        <f>1 / (1+SQRT((O60*O62)^2 + (O61*O63)^2+(2*O60*O61*O62*O63/PI())^2))</f>
        <v>#DIV/0!</v>
      </c>
      <c r="Q59" s="130" t="s">
        <v>209</v>
      </c>
      <c r="R59" s="9">
        <f>IF(R47&lt;M45, $M$49/($M$48*LN($M$45/$M$44)), $M$49/($M$48*LN(R47/$M$44)))</f>
        <v>0.18085049725270286</v>
      </c>
      <c r="W59" s="24"/>
    </row>
    <row r="60" spans="2:23" ht="15.75" thickBot="1" x14ac:dyDescent="0.3">
      <c r="B60" s="23" t="s">
        <v>50</v>
      </c>
      <c r="C60" s="5">
        <f>IF(T&gt;=TC, C59, MIN( 1 + (C59-1)*TC/T, 3*C59))</f>
        <v>3.1680000000000001</v>
      </c>
      <c r="E60">
        <v>8</v>
      </c>
      <c r="F60" s="6" t="str">
        <f t="shared" ref="F60:F61" si="20">G47</f>
        <v/>
      </c>
      <c r="G60" s="106"/>
      <c r="H60" s="6" t="str">
        <f t="shared" si="14"/>
        <v/>
      </c>
      <c r="I60" s="6" t="str">
        <f t="shared" si="15"/>
        <v/>
      </c>
      <c r="J60" s="24"/>
      <c r="L60" s="95" t="s">
        <v>188</v>
      </c>
      <c r="M60" s="106">
        <v>0.5</v>
      </c>
      <c r="N60" s="106">
        <v>0.5</v>
      </c>
      <c r="O60" s="106">
        <v>0.5</v>
      </c>
      <c r="W60" s="24"/>
    </row>
    <row r="61" spans="2:23" x14ac:dyDescent="0.25">
      <c r="B61" s="23" t="s">
        <v>41</v>
      </c>
      <c r="C61" s="5">
        <f>IF(T&lt;=TA, C57*C58, IF(T&lt;=TB, C57*C58 + (C59-C57*C58)*(T-TA)/(TB-TA), C59))</f>
        <v>3.1680000000000001</v>
      </c>
      <c r="E61">
        <v>9</v>
      </c>
      <c r="F61" s="6" t="str">
        <f t="shared" si="20"/>
        <v/>
      </c>
      <c r="G61" s="106"/>
      <c r="H61" s="6" t="str">
        <f t="shared" si="14"/>
        <v/>
      </c>
      <c r="I61" s="6" t="str">
        <f t="shared" si="15"/>
        <v/>
      </c>
      <c r="J61" s="24"/>
      <c r="L61" s="95" t="s">
        <v>189</v>
      </c>
      <c r="M61" s="106">
        <f>3/8</f>
        <v>0.375</v>
      </c>
      <c r="N61" s="106">
        <f>3/8</f>
        <v>0.375</v>
      </c>
      <c r="O61" s="106">
        <f>3/8</f>
        <v>0.375</v>
      </c>
      <c r="Q61" s="111"/>
      <c r="R61" s="40" t="s">
        <v>301</v>
      </c>
      <c r="S61" s="40"/>
      <c r="T61" s="40"/>
      <c r="U61" s="40"/>
      <c r="V61" s="40"/>
      <c r="W61" s="41"/>
    </row>
    <row r="62" spans="2:23" x14ac:dyDescent="0.25">
      <c r="B62" s="23"/>
      <c r="E62" s="122" t="s">
        <v>148</v>
      </c>
      <c r="F62" s="120"/>
      <c r="G62" s="120"/>
      <c r="H62" s="7">
        <f>SUM(H53:H61)</f>
        <v>30.65152293577982</v>
      </c>
      <c r="I62" s="7">
        <f>SUM(I53:I61)</f>
        <v>3.3604135266055053</v>
      </c>
      <c r="J62" s="121"/>
      <c r="L62" s="25" t="s">
        <v>190</v>
      </c>
      <c r="M62" s="6" t="e">
        <f>11.5*$R$41*M67/$R$50</f>
        <v>#DIV/0!</v>
      </c>
      <c r="N62" s="6" t="e">
        <f>11.5*$R$41*N67/$R$50</f>
        <v>#DIV/0!</v>
      </c>
      <c r="O62" s="6" t="e">
        <f t="shared" ref="O62" si="21">11.5*$R$41*O67/$R$50</f>
        <v>#DIV/0!</v>
      </c>
      <c r="Q62" s="23"/>
      <c r="R62" s="108" t="s">
        <v>293</v>
      </c>
      <c r="S62" s="107" t="s">
        <v>167</v>
      </c>
      <c r="T62" s="107" t="s">
        <v>170</v>
      </c>
      <c r="U62" s="107" t="s">
        <v>173</v>
      </c>
      <c r="V62" s="107" t="s">
        <v>174</v>
      </c>
      <c r="W62" s="109" t="s">
        <v>294</v>
      </c>
    </row>
    <row r="63" spans="2:23" x14ac:dyDescent="0.25">
      <c r="B63" s="23" t="s">
        <v>9</v>
      </c>
      <c r="C63" s="205">
        <v>0.84119999999999995</v>
      </c>
      <c r="D63" t="s">
        <v>8</v>
      </c>
      <c r="J63" s="24"/>
      <c r="L63" s="25" t="s">
        <v>194</v>
      </c>
      <c r="M63" s="6" t="e">
        <f>11.5*$R$39*M67/$R$50</f>
        <v>#DIV/0!</v>
      </c>
      <c r="N63" s="6" t="e">
        <f t="shared" ref="N63:O63" si="22">11.5*$R$39*N67/$R$50</f>
        <v>#DIV/0!</v>
      </c>
      <c r="O63" s="6" t="e">
        <f t="shared" si="22"/>
        <v>#DIV/0!</v>
      </c>
      <c r="Q63" s="26" t="s">
        <v>295</v>
      </c>
      <c r="R63" s="5">
        <f>R41</f>
        <v>24</v>
      </c>
      <c r="S63" s="5">
        <f>IF(R63&lt;=Loads!$M$45, Loads!$R$37*LN(Loads!$M$45/Loads!$M$44),  Loads!$R$37*LN(R63/Loads!$M$44))</f>
        <v>1.1730193597413681</v>
      </c>
      <c r="T63" s="5">
        <f>S63*Loads!$M$48*Loads!$R$38</f>
        <v>29.325483993534203</v>
      </c>
      <c r="U63" s="5">
        <f>IF(R63&lt;Loads!$M$45, Loads!$M$49/(Loads!$M$48*LN(Loads!$M$45/Loads!$M$44)),Loads!$M$49/(Loads!$M$48*LN(R63/Loads!$M$44)))</f>
        <v>0.16197516129818348</v>
      </c>
      <c r="V63" s="5">
        <f>(1+7*U63)*0.5*Loads!$M$37*T63^2 / 1000</f>
        <v>1.1469102214000271</v>
      </c>
      <c r="W63" s="36">
        <f>V63*Loads!$R$45</f>
        <v>0.91752817712002166</v>
      </c>
    </row>
    <row r="64" spans="2:23" ht="18.75" thickBot="1" x14ac:dyDescent="0.4">
      <c r="B64" s="128" t="s">
        <v>26</v>
      </c>
      <c r="C64" s="9">
        <f>IF(T&lt;TA, C44/C47, IF(T&lt;TB, C44/(TA-TB) * (C54*(T-TA) + (TB-T)/C47), IF(T&lt;TC, C54*C44, IF(T&lt;TD, C54*C45*C53/T, C54*TD*C45*C53/T^2))))</f>
        <v>0.34662082738944372</v>
      </c>
      <c r="D64" t="s">
        <v>6</v>
      </c>
      <c r="E64" t="s">
        <v>47</v>
      </c>
      <c r="F64" s="9">
        <f>2* SQRT(I62/H62)</f>
        <v>0.66221700536637518</v>
      </c>
      <c r="G64" t="s">
        <v>8</v>
      </c>
      <c r="J64" s="24"/>
      <c r="L64" s="25" t="s">
        <v>207</v>
      </c>
      <c r="M64" s="6" t="e">
        <f>$R$52+M65</f>
        <v>#DIV/0!</v>
      </c>
      <c r="N64" s="6" t="e">
        <f t="shared" ref="N64" si="23">$R$52+N65</f>
        <v>#DIV/0!</v>
      </c>
      <c r="O64" s="6" t="e">
        <f>$R$52+O65</f>
        <v>#DIV/0!</v>
      </c>
      <c r="Q64" s="110" t="s">
        <v>296</v>
      </c>
      <c r="R64" s="45">
        <f>Loads!$R$39</f>
        <v>21</v>
      </c>
      <c r="S64" s="38">
        <f>IF(R64&lt;=Loads!$M$45, Loads!$R$37*LN(Loads!$M$45/Loads!$M$44),  Loads!$R$37*LN(R64/Loads!$M$44))</f>
        <v>1.1476483951427086</v>
      </c>
      <c r="T64" s="38">
        <f>S64*Loads!$M$48*Loads!$R$38</f>
        <v>28.691209878567715</v>
      </c>
      <c r="U64" s="38">
        <f>IF(R64&lt;Loads!$M$45, Loads!$M$49/(Loads!$M$48*LN(Loads!$M$45/Loads!$M$44)),Loads!$M$49/(Loads!$M$48*LN(R64/Loads!$M$44)))</f>
        <v>0.16555593229089449</v>
      </c>
      <c r="V64" s="38">
        <f>(1+7*U64)*0.5*Loads!$M$37*T64^2 / 1000</f>
        <v>1.1107301579739988</v>
      </c>
      <c r="W64" s="39">
        <f>V64*Loads!$R$45</f>
        <v>0.88858412637919904</v>
      </c>
    </row>
    <row r="65" spans="2:23" ht="15.75" thickBot="1" x14ac:dyDescent="0.3">
      <c r="B65" s="128"/>
      <c r="C65" s="9">
        <f>C64*C10</f>
        <v>3.4003503166904432</v>
      </c>
      <c r="D65" t="s">
        <v>7</v>
      </c>
      <c r="J65" s="24"/>
      <c r="L65" s="25" t="s">
        <v>197</v>
      </c>
      <c r="M65" s="6" t="e">
        <f>$R$53*$M$37*$R$41*$R$50/(2*M67*M66)</f>
        <v>#DIV/0!</v>
      </c>
      <c r="N65" s="6" t="e">
        <f>$R$53*$M$37*$R$41*$R$50/(2*N67*N66)</f>
        <v>#DIV/0!</v>
      </c>
      <c r="O65" s="6" t="e">
        <f>$R$53*$M$37*$R$41*$R$50/(2*O67*O66)</f>
        <v>#DIV/0!</v>
      </c>
      <c r="W65" s="24"/>
    </row>
    <row r="66" spans="2:23" x14ac:dyDescent="0.25">
      <c r="B66" s="128" t="s">
        <v>46</v>
      </c>
      <c r="C66" s="9">
        <f>MAX(C64/C61, 0.08*C37)</f>
        <v>0.10941313995878905</v>
      </c>
      <c r="D66" t="s">
        <v>6</v>
      </c>
      <c r="J66" s="24"/>
      <c r="L66" s="23" t="s">
        <v>315</v>
      </c>
      <c r="M66" s="6">
        <f>SUMPRODUCT(P73:P81,S73:S81)/SUM(S73:S81)*1000</f>
        <v>63316.686179809876</v>
      </c>
      <c r="N66" s="6">
        <f>SUMPRODUCT(P86:P94,S86:S94)/SUM(S86:S94)*1000</f>
        <v>60322.437032501795</v>
      </c>
      <c r="O66" s="6">
        <f>SUMPRODUCT(P99:P107,S99:S107)/SUM(S99:S107)*1000</f>
        <v>61803.234720590728</v>
      </c>
      <c r="Q66" s="111"/>
      <c r="R66" s="40" t="s">
        <v>302</v>
      </c>
      <c r="S66" s="40"/>
      <c r="T66" s="40"/>
      <c r="U66" s="40"/>
      <c r="V66" s="40"/>
      <c r="W66" s="41"/>
    </row>
    <row r="67" spans="2:23" x14ac:dyDescent="0.25">
      <c r="B67" s="128"/>
      <c r="C67" s="9">
        <f>C66*C10</f>
        <v>1.0733429029957207</v>
      </c>
      <c r="D67" t="s">
        <v>7</v>
      </c>
      <c r="J67" s="24"/>
      <c r="L67" s="95" t="s">
        <v>314</v>
      </c>
      <c r="M67" s="150" t="e">
        <f>1/(2*SQRT(V82/U82))</f>
        <v>#DIV/0!</v>
      </c>
      <c r="N67" s="9" t="e">
        <f>1/(2*SQRT(V95/U95))</f>
        <v>#DIV/0!</v>
      </c>
      <c r="O67" s="9" t="e">
        <f>1/(2*SQRT(V108/U108))</f>
        <v>#DIV/0!</v>
      </c>
      <c r="Q67" s="23"/>
      <c r="R67" s="108" t="s">
        <v>293</v>
      </c>
      <c r="S67" s="107" t="s">
        <v>167</v>
      </c>
      <c r="T67" s="107" t="s">
        <v>170</v>
      </c>
      <c r="U67" s="107" t="s">
        <v>173</v>
      </c>
      <c r="V67" s="107" t="s">
        <v>174</v>
      </c>
      <c r="W67" s="109" t="s">
        <v>294</v>
      </c>
    </row>
    <row r="68" spans="2:23" ht="15.75" thickBot="1" x14ac:dyDescent="0.3">
      <c r="B68" s="23"/>
      <c r="J68" s="24"/>
      <c r="L68" s="23"/>
      <c r="N68" s="6"/>
      <c r="Q68" s="110" t="s">
        <v>296</v>
      </c>
      <c r="R68" s="38">
        <f>R64</f>
        <v>21</v>
      </c>
      <c r="S68" s="38">
        <f>IF(R68&lt;=Loads!$M$45, Loads!$R$37*LN(Loads!$M$45/Loads!$M$44),  Loads!$R$37*LN(R68/Loads!$M$44))</f>
        <v>1.1476483951427086</v>
      </c>
      <c r="T68" s="38">
        <f>S68*Loads!$M$48*Loads!$R$38</f>
        <v>28.691209878567715</v>
      </c>
      <c r="U68" s="38">
        <f>IF(R68&lt;Loads!$M$45, Loads!$M$49/(Loads!$M$48*LN(Loads!$M$45/Loads!$M$44)),Loads!$M$49/(Loads!$M$48*LN(R68/Loads!$M$44)))</f>
        <v>0.16555593229089449</v>
      </c>
      <c r="V68" s="38">
        <f>(1+7*U68)*0.5*Loads!$M$37*T68^2 / 1000</f>
        <v>1.1107301579739988</v>
      </c>
      <c r="W68" s="39">
        <f>V68*Loads!$R$46</f>
        <v>-0.55536507898699938</v>
      </c>
    </row>
    <row r="69" spans="2:23" x14ac:dyDescent="0.25">
      <c r="B69" s="23" t="s">
        <v>29</v>
      </c>
      <c r="C69" s="5">
        <f>IF(AND(T&lt;MIN(2*TC, 1.2),C8 &gt; 2), 0.85, 1)</f>
        <v>0.85</v>
      </c>
      <c r="J69" s="24"/>
      <c r="L69" s="23"/>
      <c r="N69" s="9"/>
      <c r="W69" s="24"/>
    </row>
    <row r="70" spans="2:23" ht="15.75" thickBot="1" x14ac:dyDescent="0.3">
      <c r="B70" s="27" t="s">
        <v>28</v>
      </c>
      <c r="C70" s="45">
        <f>C69*C66*F49</f>
        <v>580.04829083452228</v>
      </c>
      <c r="D70" s="29" t="s">
        <v>31</v>
      </c>
      <c r="E70" s="29"/>
      <c r="F70" s="29"/>
      <c r="G70" s="29"/>
      <c r="H70" s="29"/>
      <c r="I70" s="29"/>
      <c r="J70" s="30"/>
      <c r="L70" s="23"/>
      <c r="W70" s="24"/>
    </row>
    <row r="71" spans="2:23" x14ac:dyDescent="0.25">
      <c r="L71" s="137" t="s">
        <v>328</v>
      </c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24"/>
    </row>
    <row r="72" spans="2:23" x14ac:dyDescent="0.25">
      <c r="L72" s="26" t="s">
        <v>3</v>
      </c>
      <c r="M72" s="2" t="s">
        <v>329</v>
      </c>
      <c r="N72" s="2" t="s">
        <v>35</v>
      </c>
      <c r="O72" s="2" t="s">
        <v>210</v>
      </c>
      <c r="P72" s="2" t="s">
        <v>211</v>
      </c>
      <c r="Q72" s="2" t="s">
        <v>37</v>
      </c>
      <c r="R72" s="2" t="s">
        <v>75</v>
      </c>
      <c r="S72" s="2" t="s">
        <v>212</v>
      </c>
      <c r="T72" s="2" t="s">
        <v>206</v>
      </c>
      <c r="U72" s="2" t="s">
        <v>39</v>
      </c>
      <c r="V72" s="2" t="s">
        <v>40</v>
      </c>
      <c r="W72" s="24"/>
    </row>
    <row r="73" spans="2:23" x14ac:dyDescent="0.25">
      <c r="L73" s="23">
        <v>1</v>
      </c>
      <c r="M73" s="5">
        <f>IF(C24&lt;&gt;"", $C$3*$C$7*I24, "")</f>
        <v>1842.75</v>
      </c>
      <c r="N73" s="6">
        <f t="shared" ref="N73:N81" si="24">IF(C24&lt;&gt;"", M73/$C$10, "")</f>
        <v>187.8440366972477</v>
      </c>
      <c r="O73" s="5">
        <f t="shared" ref="O73:O80" si="25">IF(C24&lt;&gt;"", (F24+F25)/2, "")</f>
        <v>3.5</v>
      </c>
      <c r="P73" s="6">
        <f t="shared" ref="P73:P81" si="26">IF(C24&lt;&gt;"", N73/O73, "")</f>
        <v>53.669724770642198</v>
      </c>
      <c r="Q73" s="206"/>
      <c r="R73" s="113">
        <v>0.16667000000000001</v>
      </c>
      <c r="S73" s="5">
        <f t="shared" ref="S73:S81" si="27">IF(C24&lt;&gt;"", R73^2, "")</f>
        <v>2.7778888900000003E-2</v>
      </c>
      <c r="T73" s="131">
        <f>IF(C24&lt;&gt;"", Q73^2, "")</f>
        <v>0</v>
      </c>
      <c r="U73" s="6">
        <f t="shared" ref="U73:U81" si="28">IF(C24&lt;&gt;"", N73*Q73, "")</f>
        <v>0</v>
      </c>
      <c r="V73" s="6">
        <f>IF(C24&lt;&gt;"", N73*Q73^2, "")</f>
        <v>0</v>
      </c>
      <c r="W73" s="24"/>
    </row>
    <row r="74" spans="2:23" x14ac:dyDescent="0.25">
      <c r="L74" s="23">
        <v>2</v>
      </c>
      <c r="M74" s="5">
        <f t="shared" ref="M74:M81" si="29">IF(C25&lt;&gt;"", $C$3*$C$7*I25, "")</f>
        <v>1842.75</v>
      </c>
      <c r="N74" s="6">
        <f t="shared" si="24"/>
        <v>187.8440366972477</v>
      </c>
      <c r="O74" s="5">
        <f t="shared" si="25"/>
        <v>3.5</v>
      </c>
      <c r="P74" s="6">
        <f t="shared" si="26"/>
        <v>53.669724770642198</v>
      </c>
      <c r="Q74" s="206"/>
      <c r="R74" s="113">
        <v>0.33334000000000003</v>
      </c>
      <c r="S74" s="5">
        <f t="shared" si="27"/>
        <v>0.11111555560000001</v>
      </c>
      <c r="T74" s="131">
        <f t="shared" ref="T74:T81" si="30">IF(C25&lt;&gt;"", Q74^2, "")</f>
        <v>0</v>
      </c>
      <c r="U74" s="6">
        <f t="shared" si="28"/>
        <v>0</v>
      </c>
      <c r="V74" s="6">
        <f t="shared" ref="V74:V81" si="31">IF(C25&lt;&gt;"", N74*Q74^2, "")</f>
        <v>0</v>
      </c>
      <c r="W74" s="24"/>
    </row>
    <row r="75" spans="2:23" x14ac:dyDescent="0.25">
      <c r="L75" s="23">
        <v>3</v>
      </c>
      <c r="M75" s="5">
        <f t="shared" si="29"/>
        <v>1842.75</v>
      </c>
      <c r="N75" s="6">
        <f t="shared" si="24"/>
        <v>187.8440366972477</v>
      </c>
      <c r="O75" s="5">
        <f t="shared" si="25"/>
        <v>3.5</v>
      </c>
      <c r="P75" s="6">
        <f t="shared" si="26"/>
        <v>53.669724770642198</v>
      </c>
      <c r="Q75" s="206"/>
      <c r="R75" s="113">
        <v>0.5</v>
      </c>
      <c r="S75" s="5">
        <f t="shared" si="27"/>
        <v>0.25</v>
      </c>
      <c r="T75" s="131">
        <f t="shared" si="30"/>
        <v>0</v>
      </c>
      <c r="U75" s="6">
        <f t="shared" si="28"/>
        <v>0</v>
      </c>
      <c r="V75" s="6">
        <f t="shared" si="31"/>
        <v>0</v>
      </c>
      <c r="W75" s="24"/>
    </row>
    <row r="76" spans="2:23" x14ac:dyDescent="0.25">
      <c r="L76" s="23">
        <v>4</v>
      </c>
      <c r="M76" s="5">
        <f t="shared" si="29"/>
        <v>1842.75</v>
      </c>
      <c r="N76" s="6">
        <f t="shared" si="24"/>
        <v>187.8440366972477</v>
      </c>
      <c r="O76" s="5">
        <f t="shared" si="25"/>
        <v>3.5</v>
      </c>
      <c r="P76" s="6">
        <f t="shared" si="26"/>
        <v>53.669724770642198</v>
      </c>
      <c r="Q76" s="206"/>
      <c r="R76" s="113">
        <v>0.66669999999999996</v>
      </c>
      <c r="S76" s="5">
        <f t="shared" si="27"/>
        <v>0.44448888999999997</v>
      </c>
      <c r="T76" s="131">
        <f t="shared" si="30"/>
        <v>0</v>
      </c>
      <c r="U76" s="6">
        <f t="shared" si="28"/>
        <v>0</v>
      </c>
      <c r="V76" s="6">
        <f t="shared" si="31"/>
        <v>0</v>
      </c>
      <c r="W76" s="24"/>
    </row>
    <row r="77" spans="2:23" x14ac:dyDescent="0.25">
      <c r="L77" s="23">
        <v>5</v>
      </c>
      <c r="M77" s="5">
        <f t="shared" si="29"/>
        <v>1842.75</v>
      </c>
      <c r="N77" s="6">
        <f t="shared" si="24"/>
        <v>187.8440366972477</v>
      </c>
      <c r="O77" s="5">
        <f t="shared" si="25"/>
        <v>3.5</v>
      </c>
      <c r="P77" s="6">
        <f t="shared" si="26"/>
        <v>53.669724770642198</v>
      </c>
      <c r="Q77" s="206"/>
      <c r="R77" s="113">
        <v>0.83330000000000004</v>
      </c>
      <c r="S77" s="5">
        <f t="shared" si="27"/>
        <v>0.69438889000000004</v>
      </c>
      <c r="T77" s="131">
        <f t="shared" si="30"/>
        <v>0</v>
      </c>
      <c r="U77" s="6">
        <f t="shared" si="28"/>
        <v>0</v>
      </c>
      <c r="V77" s="6">
        <f t="shared" si="31"/>
        <v>0</v>
      </c>
      <c r="W77" s="24"/>
    </row>
    <row r="78" spans="2:23" x14ac:dyDescent="0.25">
      <c r="L78" s="23">
        <v>6</v>
      </c>
      <c r="M78" s="5">
        <f t="shared" si="29"/>
        <v>1340.01</v>
      </c>
      <c r="N78" s="6">
        <f t="shared" si="24"/>
        <v>136.59633027522935</v>
      </c>
      <c r="O78" s="5">
        <f t="shared" si="25"/>
        <v>1.75</v>
      </c>
      <c r="P78" s="6">
        <f t="shared" si="26"/>
        <v>78.055045871559628</v>
      </c>
      <c r="Q78" s="206"/>
      <c r="R78" s="113">
        <v>1</v>
      </c>
      <c r="S78" s="5">
        <f t="shared" si="27"/>
        <v>1</v>
      </c>
      <c r="T78" s="131">
        <f t="shared" si="30"/>
        <v>0</v>
      </c>
      <c r="U78" s="6">
        <f t="shared" si="28"/>
        <v>0</v>
      </c>
      <c r="V78" s="6">
        <f t="shared" si="31"/>
        <v>0</v>
      </c>
      <c r="W78" s="24"/>
    </row>
    <row r="79" spans="2:23" x14ac:dyDescent="0.25">
      <c r="L79" s="23">
        <v>7</v>
      </c>
      <c r="M79" s="5" t="str">
        <f t="shared" si="29"/>
        <v/>
      </c>
      <c r="N79" s="6" t="str">
        <f t="shared" si="24"/>
        <v/>
      </c>
      <c r="O79" s="5" t="str">
        <f t="shared" si="25"/>
        <v/>
      </c>
      <c r="P79" s="6" t="str">
        <f t="shared" si="26"/>
        <v/>
      </c>
      <c r="Q79" s="106"/>
      <c r="R79" s="106"/>
      <c r="S79" s="5" t="str">
        <f t="shared" si="27"/>
        <v/>
      </c>
      <c r="T79" s="131" t="str">
        <f t="shared" si="30"/>
        <v/>
      </c>
      <c r="U79" s="6" t="str">
        <f t="shared" si="28"/>
        <v/>
      </c>
      <c r="V79" s="6" t="str">
        <f t="shared" si="31"/>
        <v/>
      </c>
      <c r="W79" s="24"/>
    </row>
    <row r="80" spans="2:23" x14ac:dyDescent="0.25">
      <c r="L80" s="23">
        <v>8</v>
      </c>
      <c r="M80" s="5" t="str">
        <f t="shared" si="29"/>
        <v/>
      </c>
      <c r="N80" s="6" t="str">
        <f t="shared" si="24"/>
        <v/>
      </c>
      <c r="O80" s="5" t="str">
        <f t="shared" si="25"/>
        <v/>
      </c>
      <c r="P80" s="6" t="str">
        <f t="shared" si="26"/>
        <v/>
      </c>
      <c r="Q80" s="106"/>
      <c r="R80" s="106"/>
      <c r="S80" s="5" t="str">
        <f t="shared" si="27"/>
        <v/>
      </c>
      <c r="T80" s="131" t="str">
        <f t="shared" si="30"/>
        <v/>
      </c>
      <c r="U80" s="6" t="str">
        <f t="shared" si="28"/>
        <v/>
      </c>
      <c r="V80" s="6" t="str">
        <f t="shared" si="31"/>
        <v/>
      </c>
      <c r="W80" s="24"/>
    </row>
    <row r="81" spans="12:23" x14ac:dyDescent="0.25">
      <c r="L81" s="23">
        <v>9</v>
      </c>
      <c r="M81" s="5" t="str">
        <f t="shared" si="29"/>
        <v/>
      </c>
      <c r="N81" s="6" t="str">
        <f t="shared" si="24"/>
        <v/>
      </c>
      <c r="O81" s="5" t="str">
        <f>IF(C32&lt;&gt;"", (F32+F34)/2, "")</f>
        <v/>
      </c>
      <c r="P81" s="6" t="str">
        <f t="shared" si="26"/>
        <v/>
      </c>
      <c r="Q81" s="106"/>
      <c r="R81" s="106"/>
      <c r="S81" s="5" t="str">
        <f t="shared" si="27"/>
        <v/>
      </c>
      <c r="T81" s="131" t="str">
        <f t="shared" si="30"/>
        <v/>
      </c>
      <c r="U81" s="6" t="str">
        <f t="shared" si="28"/>
        <v/>
      </c>
      <c r="V81" s="6" t="str">
        <f t="shared" si="31"/>
        <v/>
      </c>
      <c r="W81" s="24"/>
    </row>
    <row r="82" spans="12:23" x14ac:dyDescent="0.25">
      <c r="L82" s="123"/>
      <c r="M82" s="120"/>
      <c r="N82" s="120"/>
      <c r="O82" s="120"/>
      <c r="P82" s="120"/>
      <c r="Q82" s="124"/>
      <c r="R82" s="120"/>
      <c r="S82" s="120"/>
      <c r="T82" s="120"/>
      <c r="U82" s="7">
        <f>SUM(U73:U81)</f>
        <v>0</v>
      </c>
      <c r="V82" s="7">
        <f>SUM(V73:V81)</f>
        <v>0</v>
      </c>
      <c r="W82" s="24"/>
    </row>
    <row r="83" spans="12:23" x14ac:dyDescent="0.25">
      <c r="L83" s="23"/>
      <c r="Q83" s="6"/>
      <c r="W83" s="24"/>
    </row>
    <row r="84" spans="12:23" x14ac:dyDescent="0.25">
      <c r="L84" s="137" t="s">
        <v>374</v>
      </c>
      <c r="M84" s="115"/>
      <c r="N84" s="115"/>
      <c r="O84" s="115"/>
      <c r="P84" s="115"/>
      <c r="Q84" s="138"/>
      <c r="R84" s="115"/>
      <c r="S84" s="115"/>
      <c r="T84" s="115"/>
      <c r="U84" s="115"/>
      <c r="V84" s="115"/>
      <c r="W84" s="24"/>
    </row>
    <row r="85" spans="12:23" x14ac:dyDescent="0.25">
      <c r="L85" s="26" t="s">
        <v>3</v>
      </c>
      <c r="M85" s="2" t="s">
        <v>329</v>
      </c>
      <c r="N85" s="2" t="s">
        <v>35</v>
      </c>
      <c r="O85" s="2" t="s">
        <v>210</v>
      </c>
      <c r="P85" s="2" t="s">
        <v>211</v>
      </c>
      <c r="Q85" s="2" t="s">
        <v>37</v>
      </c>
      <c r="R85" s="2" t="s">
        <v>75</v>
      </c>
      <c r="S85" s="2" t="s">
        <v>212</v>
      </c>
      <c r="T85" s="2" t="s">
        <v>206</v>
      </c>
      <c r="U85" s="2" t="s">
        <v>39</v>
      </c>
      <c r="V85" s="2" t="s">
        <v>40</v>
      </c>
      <c r="W85" s="24"/>
    </row>
    <row r="86" spans="12:23" x14ac:dyDescent="0.25">
      <c r="L86" s="23">
        <v>1</v>
      </c>
      <c r="M86" s="5">
        <f t="shared" ref="M86:M94" si="32">IF(C24&lt;&gt;"", $C$3*$C$7*J24, "")</f>
        <v>1672.6499999999999</v>
      </c>
      <c r="N86" s="6">
        <f t="shared" ref="N86:N94" si="33">IF(C24&lt;&gt;"", M86/$C$10, "")</f>
        <v>170.50458715596329</v>
      </c>
      <c r="O86" s="5">
        <f t="shared" ref="O86:O94" si="34">IF(C24&lt;&gt;"", O73,"")</f>
        <v>3.5</v>
      </c>
      <c r="P86" s="6">
        <f t="shared" ref="P86:P94" si="35">IF(C24&lt;&gt;"", N86/O86, "")</f>
        <v>48.715596330275226</v>
      </c>
      <c r="Q86" s="206"/>
      <c r="R86" s="113">
        <v>0.16667000000000001</v>
      </c>
      <c r="S86" s="5">
        <f t="shared" ref="S86:S94" si="36">IF(C24&lt;&gt;"", R86^2, "")</f>
        <v>2.7778888900000003E-2</v>
      </c>
      <c r="T86" s="131">
        <f t="shared" ref="T86:T94" si="37">IF(C24&lt;&gt;"", Q86^2, "")</f>
        <v>0</v>
      </c>
      <c r="U86" s="6">
        <f t="shared" ref="U86:U94" si="38">IF(C24&lt;&gt;"", N86*Q86, "")</f>
        <v>0</v>
      </c>
      <c r="V86" s="6">
        <f t="shared" ref="V86:V94" si="39">IF(C24&lt;&gt;"", N86*Q86^2, "")</f>
        <v>0</v>
      </c>
      <c r="W86" s="24"/>
    </row>
    <row r="87" spans="12:23" x14ac:dyDescent="0.25">
      <c r="L87" s="23">
        <v>2</v>
      </c>
      <c r="M87" s="5">
        <f t="shared" si="32"/>
        <v>1672.6499999999999</v>
      </c>
      <c r="N87" s="6">
        <f t="shared" si="33"/>
        <v>170.50458715596329</v>
      </c>
      <c r="O87" s="5">
        <f t="shared" si="34"/>
        <v>3.5</v>
      </c>
      <c r="P87" s="6">
        <f t="shared" si="35"/>
        <v>48.715596330275226</v>
      </c>
      <c r="Q87" s="206"/>
      <c r="R87" s="113">
        <v>0.33334000000000003</v>
      </c>
      <c r="S87" s="5">
        <f t="shared" si="36"/>
        <v>0.11111555560000001</v>
      </c>
      <c r="T87" s="131">
        <f t="shared" si="37"/>
        <v>0</v>
      </c>
      <c r="U87" s="6">
        <f t="shared" si="38"/>
        <v>0</v>
      </c>
      <c r="V87" s="6">
        <f t="shared" si="39"/>
        <v>0</v>
      </c>
      <c r="W87" s="24"/>
    </row>
    <row r="88" spans="12:23" x14ac:dyDescent="0.25">
      <c r="L88" s="23">
        <v>3</v>
      </c>
      <c r="M88" s="5">
        <f t="shared" si="32"/>
        <v>1672.6499999999999</v>
      </c>
      <c r="N88" s="6">
        <f t="shared" si="33"/>
        <v>170.50458715596329</v>
      </c>
      <c r="O88" s="5">
        <f t="shared" si="34"/>
        <v>3.5</v>
      </c>
      <c r="P88" s="6">
        <f t="shared" si="35"/>
        <v>48.715596330275226</v>
      </c>
      <c r="Q88" s="206"/>
      <c r="R88" s="113">
        <v>0.5</v>
      </c>
      <c r="S88" s="5">
        <f t="shared" si="36"/>
        <v>0.25</v>
      </c>
      <c r="T88" s="131">
        <f t="shared" si="37"/>
        <v>0</v>
      </c>
      <c r="U88" s="6">
        <f t="shared" si="38"/>
        <v>0</v>
      </c>
      <c r="V88" s="6">
        <f t="shared" si="39"/>
        <v>0</v>
      </c>
      <c r="W88" s="24"/>
    </row>
    <row r="89" spans="12:23" x14ac:dyDescent="0.25">
      <c r="L89" s="23">
        <v>4</v>
      </c>
      <c r="M89" s="5">
        <f t="shared" si="32"/>
        <v>1672.6499999999999</v>
      </c>
      <c r="N89" s="6">
        <f t="shared" si="33"/>
        <v>170.50458715596329</v>
      </c>
      <c r="O89" s="5">
        <f t="shared" si="34"/>
        <v>3.5</v>
      </c>
      <c r="P89" s="6">
        <f t="shared" si="35"/>
        <v>48.715596330275226</v>
      </c>
      <c r="Q89" s="206"/>
      <c r="R89" s="113">
        <v>0.66669999999999996</v>
      </c>
      <c r="S89" s="5">
        <f t="shared" si="36"/>
        <v>0.44448888999999997</v>
      </c>
      <c r="T89" s="131">
        <f t="shared" si="37"/>
        <v>0</v>
      </c>
      <c r="U89" s="6">
        <f t="shared" si="38"/>
        <v>0</v>
      </c>
      <c r="V89" s="6">
        <f t="shared" si="39"/>
        <v>0</v>
      </c>
      <c r="W89" s="24"/>
    </row>
    <row r="90" spans="12:23" x14ac:dyDescent="0.25">
      <c r="L90" s="23">
        <v>5</v>
      </c>
      <c r="M90" s="5">
        <f t="shared" si="32"/>
        <v>1672.6499999999999</v>
      </c>
      <c r="N90" s="6">
        <f t="shared" si="33"/>
        <v>170.50458715596329</v>
      </c>
      <c r="O90" s="5">
        <f t="shared" si="34"/>
        <v>3.5</v>
      </c>
      <c r="P90" s="6">
        <f t="shared" si="35"/>
        <v>48.715596330275226</v>
      </c>
      <c r="Q90" s="206"/>
      <c r="R90" s="113">
        <v>0.83330000000000004</v>
      </c>
      <c r="S90" s="5">
        <f t="shared" si="36"/>
        <v>0.69438889000000004</v>
      </c>
      <c r="T90" s="131">
        <f t="shared" si="37"/>
        <v>0</v>
      </c>
      <c r="U90" s="6">
        <f t="shared" si="38"/>
        <v>0</v>
      </c>
      <c r="V90" s="6">
        <f t="shared" si="39"/>
        <v>0</v>
      </c>
      <c r="W90" s="24"/>
    </row>
    <row r="91" spans="12:23" x14ac:dyDescent="0.25">
      <c r="L91" s="23">
        <v>6</v>
      </c>
      <c r="M91" s="5">
        <f t="shared" si="32"/>
        <v>1340.01</v>
      </c>
      <c r="N91" s="6">
        <f t="shared" si="33"/>
        <v>136.59633027522935</v>
      </c>
      <c r="O91" s="5">
        <f t="shared" si="34"/>
        <v>1.75</v>
      </c>
      <c r="P91" s="6">
        <f t="shared" si="35"/>
        <v>78.055045871559628</v>
      </c>
      <c r="Q91" s="206"/>
      <c r="R91" s="113">
        <v>1</v>
      </c>
      <c r="S91" s="5">
        <f t="shared" si="36"/>
        <v>1</v>
      </c>
      <c r="T91" s="131">
        <f t="shared" si="37"/>
        <v>0</v>
      </c>
      <c r="U91" s="6">
        <f t="shared" si="38"/>
        <v>0</v>
      </c>
      <c r="V91" s="6">
        <f t="shared" si="39"/>
        <v>0</v>
      </c>
      <c r="W91" s="24"/>
    </row>
    <row r="92" spans="12:23" x14ac:dyDescent="0.25">
      <c r="L92" s="23">
        <v>7</v>
      </c>
      <c r="M92" s="5" t="str">
        <f t="shared" si="32"/>
        <v/>
      </c>
      <c r="N92" s="6" t="str">
        <f t="shared" si="33"/>
        <v/>
      </c>
      <c r="O92" s="5" t="str">
        <f t="shared" si="34"/>
        <v/>
      </c>
      <c r="P92" s="6" t="str">
        <f t="shared" si="35"/>
        <v/>
      </c>
      <c r="Q92" s="106"/>
      <c r="R92" s="106"/>
      <c r="S92" s="5" t="str">
        <f t="shared" si="36"/>
        <v/>
      </c>
      <c r="T92" s="131" t="str">
        <f t="shared" si="37"/>
        <v/>
      </c>
      <c r="U92" s="6" t="str">
        <f t="shared" si="38"/>
        <v/>
      </c>
      <c r="V92" s="6" t="str">
        <f t="shared" si="39"/>
        <v/>
      </c>
      <c r="W92" s="24"/>
    </row>
    <row r="93" spans="12:23" x14ac:dyDescent="0.25">
      <c r="L93" s="23">
        <v>8</v>
      </c>
      <c r="M93" s="5" t="str">
        <f t="shared" si="32"/>
        <v/>
      </c>
      <c r="N93" s="6" t="str">
        <f t="shared" si="33"/>
        <v/>
      </c>
      <c r="O93" s="5" t="str">
        <f t="shared" si="34"/>
        <v/>
      </c>
      <c r="P93" s="6" t="str">
        <f t="shared" si="35"/>
        <v/>
      </c>
      <c r="Q93" s="106"/>
      <c r="R93" s="106"/>
      <c r="S93" s="5" t="str">
        <f t="shared" si="36"/>
        <v/>
      </c>
      <c r="T93" s="131" t="str">
        <f t="shared" si="37"/>
        <v/>
      </c>
      <c r="U93" s="6" t="str">
        <f t="shared" si="38"/>
        <v/>
      </c>
      <c r="V93" s="6" t="str">
        <f t="shared" si="39"/>
        <v/>
      </c>
      <c r="W93" s="24"/>
    </row>
    <row r="94" spans="12:23" x14ac:dyDescent="0.25">
      <c r="L94" s="23">
        <v>9</v>
      </c>
      <c r="M94" s="5" t="str">
        <f t="shared" si="32"/>
        <v/>
      </c>
      <c r="N94" s="6" t="str">
        <f t="shared" si="33"/>
        <v/>
      </c>
      <c r="O94" s="5" t="str">
        <f t="shared" si="34"/>
        <v/>
      </c>
      <c r="P94" s="6" t="str">
        <f t="shared" si="35"/>
        <v/>
      </c>
      <c r="Q94" s="106"/>
      <c r="R94" s="106"/>
      <c r="S94" s="5" t="str">
        <f t="shared" si="36"/>
        <v/>
      </c>
      <c r="T94" s="131" t="str">
        <f t="shared" si="37"/>
        <v/>
      </c>
      <c r="U94" s="6" t="str">
        <f t="shared" si="38"/>
        <v/>
      </c>
      <c r="V94" s="6" t="str">
        <f t="shared" si="39"/>
        <v/>
      </c>
      <c r="W94" s="24"/>
    </row>
    <row r="95" spans="12:23" x14ac:dyDescent="0.25">
      <c r="L95" s="123"/>
      <c r="M95" s="120"/>
      <c r="N95" s="120"/>
      <c r="O95" s="120"/>
      <c r="P95" s="120"/>
      <c r="Q95" s="120"/>
      <c r="R95" s="120"/>
      <c r="S95" s="120"/>
      <c r="T95" s="120"/>
      <c r="U95" s="7">
        <f>SUM(U86:U94)</f>
        <v>0</v>
      </c>
      <c r="V95" s="7">
        <f>SUM(V86:V94)</f>
        <v>0</v>
      </c>
      <c r="W95" s="24"/>
    </row>
    <row r="96" spans="12:23" x14ac:dyDescent="0.25">
      <c r="L96" s="23"/>
      <c r="W96" s="24"/>
    </row>
    <row r="97" spans="12:23" x14ac:dyDescent="0.25">
      <c r="L97" s="137" t="s">
        <v>373</v>
      </c>
      <c r="M97" s="115"/>
      <c r="N97" s="115"/>
      <c r="O97" s="115"/>
      <c r="P97" s="115"/>
      <c r="Q97" s="138"/>
      <c r="R97" s="115"/>
      <c r="S97" s="115"/>
      <c r="T97" s="115"/>
      <c r="U97" s="115"/>
      <c r="V97" s="115"/>
      <c r="W97" s="24"/>
    </row>
    <row r="98" spans="12:23" x14ac:dyDescent="0.25">
      <c r="L98" s="26" t="s">
        <v>3</v>
      </c>
      <c r="M98" s="2" t="s">
        <v>329</v>
      </c>
      <c r="N98" s="2" t="s">
        <v>35</v>
      </c>
      <c r="O98" s="2" t="s">
        <v>210</v>
      </c>
      <c r="P98" s="2" t="s">
        <v>211</v>
      </c>
      <c r="Q98" s="2" t="s">
        <v>37</v>
      </c>
      <c r="R98" s="2" t="s">
        <v>75</v>
      </c>
      <c r="S98" s="2" t="s">
        <v>212</v>
      </c>
      <c r="T98" s="2" t="s">
        <v>206</v>
      </c>
      <c r="U98" s="2" t="s">
        <v>39</v>
      </c>
      <c r="V98" s="2" t="s">
        <v>40</v>
      </c>
      <c r="W98" s="24"/>
    </row>
    <row r="99" spans="12:23" x14ac:dyDescent="0.25">
      <c r="L99" s="23">
        <v>1</v>
      </c>
      <c r="M99" s="5">
        <f>IF(C24&lt;&gt;"", $C$3*$C$7*K24, "")</f>
        <v>1672.6499999999999</v>
      </c>
      <c r="N99" s="6">
        <f t="shared" ref="N99:N107" si="40">IF(C24&lt;&gt;"", M99/$C$10, "")</f>
        <v>170.50458715596329</v>
      </c>
      <c r="O99" s="5">
        <f t="shared" ref="O99:O107" si="41">IF(C24&lt;&gt;"", O86,"")</f>
        <v>3.5</v>
      </c>
      <c r="P99" s="6">
        <f t="shared" ref="P99:P107" si="42">IF(C24&lt;&gt;"", N99/O99, "")</f>
        <v>48.715596330275226</v>
      </c>
      <c r="Q99" s="206"/>
      <c r="R99" s="113">
        <v>0.16667000000000001</v>
      </c>
      <c r="S99" s="5">
        <f t="shared" ref="S99:S107" si="43">IF(C24&lt;&gt;"", R99^2, "")</f>
        <v>2.7778888900000003E-2</v>
      </c>
      <c r="T99" s="131">
        <f t="shared" ref="T99:T107" si="44">IF(C24&lt;&gt;"", Q99^2, "")</f>
        <v>0</v>
      </c>
      <c r="U99" s="6">
        <f t="shared" ref="U99:U107" si="45">IF(C24&lt;&gt;"", N99*Q99, "")</f>
        <v>0</v>
      </c>
      <c r="V99" s="6">
        <f t="shared" ref="V99:V107" si="46">IF(C24&lt;&gt;"", N99*Q99^2, "")</f>
        <v>0</v>
      </c>
      <c r="W99" s="24"/>
    </row>
    <row r="100" spans="12:23" x14ac:dyDescent="0.25">
      <c r="L100" s="23">
        <v>2</v>
      </c>
      <c r="M100" s="5">
        <f t="shared" ref="M100:M107" si="47">IF(C25&lt;&gt;"", $C$3*$C$7*K25, "")</f>
        <v>1672.6499999999999</v>
      </c>
      <c r="N100" s="6">
        <f t="shared" si="40"/>
        <v>170.50458715596329</v>
      </c>
      <c r="O100" s="5">
        <f t="shared" si="41"/>
        <v>3.5</v>
      </c>
      <c r="P100" s="6">
        <f t="shared" si="42"/>
        <v>48.715596330275226</v>
      </c>
      <c r="Q100" s="206"/>
      <c r="R100" s="113">
        <v>0.33334000000000003</v>
      </c>
      <c r="S100" s="5">
        <f t="shared" si="43"/>
        <v>0.11111555560000001</v>
      </c>
      <c r="T100" s="131">
        <f t="shared" si="44"/>
        <v>0</v>
      </c>
      <c r="U100" s="6">
        <f t="shared" si="45"/>
        <v>0</v>
      </c>
      <c r="V100" s="6">
        <f t="shared" si="46"/>
        <v>0</v>
      </c>
      <c r="W100" s="24"/>
    </row>
    <row r="101" spans="12:23" x14ac:dyDescent="0.25">
      <c r="L101" s="23">
        <v>3</v>
      </c>
      <c r="M101" s="5">
        <f t="shared" si="47"/>
        <v>1672.6499999999999</v>
      </c>
      <c r="N101" s="6">
        <f t="shared" si="40"/>
        <v>170.50458715596329</v>
      </c>
      <c r="O101" s="5">
        <f t="shared" si="41"/>
        <v>3.5</v>
      </c>
      <c r="P101" s="6">
        <f t="shared" si="42"/>
        <v>48.715596330275226</v>
      </c>
      <c r="Q101" s="206"/>
      <c r="R101" s="113">
        <v>0.5</v>
      </c>
      <c r="S101" s="5">
        <f t="shared" si="43"/>
        <v>0.25</v>
      </c>
      <c r="T101" s="131">
        <f t="shared" si="44"/>
        <v>0</v>
      </c>
      <c r="U101" s="6">
        <f t="shared" si="45"/>
        <v>0</v>
      </c>
      <c r="V101" s="6">
        <f t="shared" si="46"/>
        <v>0</v>
      </c>
      <c r="W101" s="24"/>
    </row>
    <row r="102" spans="12:23" x14ac:dyDescent="0.25">
      <c r="L102" s="23">
        <v>4</v>
      </c>
      <c r="M102" s="5">
        <f t="shared" si="47"/>
        <v>1672.6499999999999</v>
      </c>
      <c r="N102" s="6">
        <f t="shared" si="40"/>
        <v>170.50458715596329</v>
      </c>
      <c r="O102" s="5">
        <f t="shared" si="41"/>
        <v>3.5</v>
      </c>
      <c r="P102" s="6">
        <f t="shared" si="42"/>
        <v>48.715596330275226</v>
      </c>
      <c r="Q102" s="206"/>
      <c r="R102" s="113">
        <v>0.66669999999999996</v>
      </c>
      <c r="S102" s="5">
        <f t="shared" si="43"/>
        <v>0.44448888999999997</v>
      </c>
      <c r="T102" s="131">
        <f t="shared" si="44"/>
        <v>0</v>
      </c>
      <c r="U102" s="6">
        <f t="shared" si="45"/>
        <v>0</v>
      </c>
      <c r="V102" s="6">
        <f t="shared" si="46"/>
        <v>0</v>
      </c>
      <c r="W102" s="24"/>
    </row>
    <row r="103" spans="12:23" x14ac:dyDescent="0.25">
      <c r="L103" s="23">
        <v>5</v>
      </c>
      <c r="M103" s="5">
        <f t="shared" si="47"/>
        <v>1672.6499999999999</v>
      </c>
      <c r="N103" s="6">
        <f t="shared" si="40"/>
        <v>170.50458715596329</v>
      </c>
      <c r="O103" s="5">
        <f t="shared" si="41"/>
        <v>3.5</v>
      </c>
      <c r="P103" s="6">
        <f t="shared" si="42"/>
        <v>48.715596330275226</v>
      </c>
      <c r="Q103" s="206"/>
      <c r="R103" s="113">
        <v>0.83330000000000004</v>
      </c>
      <c r="S103" s="5">
        <f t="shared" si="43"/>
        <v>0.69438889000000004</v>
      </c>
      <c r="T103" s="131">
        <f t="shared" si="44"/>
        <v>0</v>
      </c>
      <c r="U103" s="6">
        <f t="shared" si="45"/>
        <v>0</v>
      </c>
      <c r="V103" s="6">
        <f t="shared" si="46"/>
        <v>0</v>
      </c>
      <c r="W103" s="24"/>
    </row>
    <row r="104" spans="12:23" x14ac:dyDescent="0.25">
      <c r="L104" s="23">
        <v>6</v>
      </c>
      <c r="M104" s="5">
        <f t="shared" si="47"/>
        <v>1404.27</v>
      </c>
      <c r="N104" s="6">
        <f t="shared" si="40"/>
        <v>143.14678899082568</v>
      </c>
      <c r="O104" s="5">
        <f t="shared" si="41"/>
        <v>1.75</v>
      </c>
      <c r="P104" s="6">
        <f t="shared" si="42"/>
        <v>81.798165137614674</v>
      </c>
      <c r="Q104" s="206"/>
      <c r="R104" s="113">
        <v>1</v>
      </c>
      <c r="S104" s="5">
        <f t="shared" si="43"/>
        <v>1</v>
      </c>
      <c r="T104" s="131">
        <f t="shared" si="44"/>
        <v>0</v>
      </c>
      <c r="U104" s="6">
        <f t="shared" si="45"/>
        <v>0</v>
      </c>
      <c r="V104" s="6">
        <f t="shared" si="46"/>
        <v>0</v>
      </c>
      <c r="W104" s="24"/>
    </row>
    <row r="105" spans="12:23" x14ac:dyDescent="0.25">
      <c r="L105" s="23">
        <v>7</v>
      </c>
      <c r="M105" s="5" t="str">
        <f t="shared" si="47"/>
        <v/>
      </c>
      <c r="N105" s="6" t="str">
        <f t="shared" si="40"/>
        <v/>
      </c>
      <c r="O105" s="5" t="str">
        <f t="shared" si="41"/>
        <v/>
      </c>
      <c r="P105" s="6" t="str">
        <f t="shared" si="42"/>
        <v/>
      </c>
      <c r="Q105" s="106"/>
      <c r="R105" s="106"/>
      <c r="S105" s="5" t="str">
        <f t="shared" si="43"/>
        <v/>
      </c>
      <c r="T105" s="131" t="str">
        <f t="shared" si="44"/>
        <v/>
      </c>
      <c r="U105" s="6" t="str">
        <f t="shared" si="45"/>
        <v/>
      </c>
      <c r="V105" s="6" t="str">
        <f t="shared" si="46"/>
        <v/>
      </c>
      <c r="W105" s="24"/>
    </row>
    <row r="106" spans="12:23" x14ac:dyDescent="0.25">
      <c r="L106" s="23">
        <v>8</v>
      </c>
      <c r="M106" s="5" t="str">
        <f t="shared" si="47"/>
        <v/>
      </c>
      <c r="N106" s="6" t="str">
        <f t="shared" si="40"/>
        <v/>
      </c>
      <c r="O106" s="5" t="str">
        <f t="shared" si="41"/>
        <v/>
      </c>
      <c r="P106" s="6" t="str">
        <f t="shared" si="42"/>
        <v/>
      </c>
      <c r="Q106" s="106"/>
      <c r="R106" s="106"/>
      <c r="S106" s="5" t="str">
        <f t="shared" si="43"/>
        <v/>
      </c>
      <c r="T106" s="131" t="str">
        <f t="shared" si="44"/>
        <v/>
      </c>
      <c r="U106" s="6" t="str">
        <f t="shared" si="45"/>
        <v/>
      </c>
      <c r="V106" s="6" t="str">
        <f t="shared" si="46"/>
        <v/>
      </c>
      <c r="W106" s="24"/>
    </row>
    <row r="107" spans="12:23" x14ac:dyDescent="0.25">
      <c r="L107" s="23">
        <v>9</v>
      </c>
      <c r="M107" s="5" t="str">
        <f t="shared" si="47"/>
        <v/>
      </c>
      <c r="N107" s="6" t="str">
        <f t="shared" si="40"/>
        <v/>
      </c>
      <c r="O107" s="5" t="str">
        <f t="shared" si="41"/>
        <v/>
      </c>
      <c r="P107" s="6" t="str">
        <f t="shared" si="42"/>
        <v/>
      </c>
      <c r="Q107" s="106"/>
      <c r="R107" s="106"/>
      <c r="S107" s="5" t="str">
        <f t="shared" si="43"/>
        <v/>
      </c>
      <c r="T107" s="131" t="str">
        <f t="shared" si="44"/>
        <v/>
      </c>
      <c r="U107" s="6" t="str">
        <f t="shared" si="45"/>
        <v/>
      </c>
      <c r="V107" s="6" t="str">
        <f t="shared" si="46"/>
        <v/>
      </c>
      <c r="W107" s="24"/>
    </row>
    <row r="108" spans="12:23" x14ac:dyDescent="0.25">
      <c r="L108" s="123"/>
      <c r="M108" s="120"/>
      <c r="N108" s="120"/>
      <c r="O108" s="120"/>
      <c r="P108" s="120"/>
      <c r="Q108" s="120"/>
      <c r="R108" s="120"/>
      <c r="S108" s="120"/>
      <c r="T108" s="120"/>
      <c r="U108" s="7">
        <f>SUM(U99:U107)</f>
        <v>0</v>
      </c>
      <c r="V108" s="7">
        <f>SUM(V99:V107)</f>
        <v>0</v>
      </c>
      <c r="W108" s="24"/>
    </row>
    <row r="109" spans="12:23" x14ac:dyDescent="0.25">
      <c r="L109" s="136"/>
      <c r="M109" s="127"/>
      <c r="N109" s="127"/>
      <c r="O109" s="127"/>
      <c r="P109" s="127" t="s">
        <v>303</v>
      </c>
      <c r="Q109" s="127"/>
      <c r="R109" s="127"/>
      <c r="W109" s="24"/>
    </row>
    <row r="110" spans="12:23" x14ac:dyDescent="0.25">
      <c r="L110" s="26" t="s">
        <v>3</v>
      </c>
      <c r="M110" s="108" t="s">
        <v>299</v>
      </c>
      <c r="N110" s="132" t="s">
        <v>297</v>
      </c>
      <c r="O110" s="132" t="s">
        <v>298</v>
      </c>
      <c r="P110" s="133" t="s">
        <v>304</v>
      </c>
      <c r="Q110" s="133" t="s">
        <v>305</v>
      </c>
      <c r="R110" s="133" t="s">
        <v>306</v>
      </c>
      <c r="W110" s="24"/>
    </row>
    <row r="111" spans="12:23" x14ac:dyDescent="0.25">
      <c r="L111" s="23">
        <v>1</v>
      </c>
      <c r="M111" s="5">
        <f t="shared" ref="M111:M119" si="48">IF(C24&lt;&gt;"", G24, "")</f>
        <v>3.5</v>
      </c>
      <c r="N111" s="5">
        <f>IF(C24&lt;&gt;"", M111-M111/2, "")</f>
        <v>1.75</v>
      </c>
      <c r="O111" s="5">
        <f>IF(C24&lt;&gt;"", IF(M112="", $R$39, IFERROR(M111+(M112-M111)/2, M111)), "")</f>
        <v>5.25</v>
      </c>
      <c r="P111" s="6">
        <f t="shared" ref="P111:P119" si="49">IF(C24&lt;&gt;"", $W$64*(O111-N111), "")</f>
        <v>3.1100444423271965</v>
      </c>
      <c r="Q111" s="6">
        <f t="shared" ref="Q111:Q119" si="50">IF(C24&lt;&gt;"", IF(O111&lt;=$R$41,$W$63*(O111-N111),IF(N111&gt;=$R$41,$W$64*(O111-N111),$W$64*(O111-$R$41)+$W$63*($R$41-N111))), "")</f>
        <v>3.2113486199200758</v>
      </c>
      <c r="W111" s="24"/>
    </row>
    <row r="112" spans="12:23" x14ac:dyDescent="0.25">
      <c r="L112" s="23">
        <v>2</v>
      </c>
      <c r="M112" s="5">
        <f t="shared" si="48"/>
        <v>7</v>
      </c>
      <c r="N112" s="5">
        <f>IF(C25&lt;&gt;"", M112-(M112-M111)/2, "")</f>
        <v>5.25</v>
      </c>
      <c r="O112" s="5">
        <f>IF(C25&lt;&gt;"", IF(M113="", $R$39, IFERROR(M112+(M113-M112)/2, M112)), "")</f>
        <v>8.75</v>
      </c>
      <c r="P112" s="6">
        <f t="shared" si="49"/>
        <v>3.1100444423271965</v>
      </c>
      <c r="Q112" s="6">
        <f t="shared" si="50"/>
        <v>3.2113486199200758</v>
      </c>
      <c r="W112" s="24"/>
    </row>
    <row r="113" spans="12:23" x14ac:dyDescent="0.25">
      <c r="L113" s="23">
        <v>3</v>
      </c>
      <c r="M113" s="5">
        <f t="shared" si="48"/>
        <v>10.5</v>
      </c>
      <c r="N113" s="5">
        <f t="shared" ref="N113:N119" si="51">IF(C26&lt;&gt;"", M113-(M113-M112)/2, "")</f>
        <v>8.75</v>
      </c>
      <c r="O113" s="5">
        <f t="shared" ref="O113:O119" si="52">IF(C26&lt;&gt;"", IF(M114="", $R$39, IFERROR(M113+(M114-M113)/2, M113)), "")</f>
        <v>12.25</v>
      </c>
      <c r="P113" s="6">
        <f t="shared" si="49"/>
        <v>3.1100444423271965</v>
      </c>
      <c r="Q113" s="6">
        <f t="shared" si="50"/>
        <v>3.2113486199200758</v>
      </c>
      <c r="W113" s="24"/>
    </row>
    <row r="114" spans="12:23" x14ac:dyDescent="0.25">
      <c r="L114" s="23">
        <v>4</v>
      </c>
      <c r="M114" s="5">
        <f t="shared" si="48"/>
        <v>14</v>
      </c>
      <c r="N114" s="5">
        <f t="shared" si="51"/>
        <v>12.25</v>
      </c>
      <c r="O114" s="5">
        <f t="shared" si="52"/>
        <v>15.75</v>
      </c>
      <c r="P114" s="6">
        <f t="shared" si="49"/>
        <v>3.1100444423271965</v>
      </c>
      <c r="Q114" s="6">
        <f t="shared" si="50"/>
        <v>3.2113486199200758</v>
      </c>
      <c r="W114" s="24"/>
    </row>
    <row r="115" spans="12:23" x14ac:dyDescent="0.25">
      <c r="L115" s="23">
        <v>5</v>
      </c>
      <c r="M115" s="5">
        <f t="shared" si="48"/>
        <v>17.5</v>
      </c>
      <c r="N115" s="5">
        <f t="shared" si="51"/>
        <v>15.75</v>
      </c>
      <c r="O115" s="5">
        <f t="shared" si="52"/>
        <v>19.25</v>
      </c>
      <c r="P115" s="6">
        <f t="shared" si="49"/>
        <v>3.1100444423271965</v>
      </c>
      <c r="Q115" s="6">
        <f t="shared" si="50"/>
        <v>3.2113486199200758</v>
      </c>
      <c r="W115" s="24"/>
    </row>
    <row r="116" spans="12:23" x14ac:dyDescent="0.25">
      <c r="L116" s="23">
        <v>6</v>
      </c>
      <c r="M116" s="5">
        <f t="shared" si="48"/>
        <v>21</v>
      </c>
      <c r="N116" s="5">
        <f t="shared" si="51"/>
        <v>19.25</v>
      </c>
      <c r="O116" s="5">
        <f t="shared" si="52"/>
        <v>21</v>
      </c>
      <c r="P116" s="6">
        <f t="shared" si="49"/>
        <v>1.5550222211635982</v>
      </c>
      <c r="Q116" s="6">
        <f t="shared" si="50"/>
        <v>1.6056743099600379</v>
      </c>
      <c r="W116" s="24"/>
    </row>
    <row r="117" spans="12:23" x14ac:dyDescent="0.25">
      <c r="L117" s="23">
        <v>7</v>
      </c>
      <c r="M117" s="5" t="str">
        <f t="shared" si="48"/>
        <v/>
      </c>
      <c r="N117" s="5" t="str">
        <f t="shared" si="51"/>
        <v/>
      </c>
      <c r="O117" s="5" t="str">
        <f t="shared" si="52"/>
        <v/>
      </c>
      <c r="P117" s="6" t="str">
        <f t="shared" si="49"/>
        <v/>
      </c>
      <c r="Q117" s="6" t="str">
        <f t="shared" si="50"/>
        <v/>
      </c>
      <c r="W117" s="24"/>
    </row>
    <row r="118" spans="12:23" x14ac:dyDescent="0.25">
      <c r="L118" s="23">
        <v>8</v>
      </c>
      <c r="M118" s="5" t="str">
        <f t="shared" si="48"/>
        <v/>
      </c>
      <c r="N118" s="5" t="str">
        <f t="shared" si="51"/>
        <v/>
      </c>
      <c r="O118" s="5" t="str">
        <f t="shared" si="52"/>
        <v/>
      </c>
      <c r="P118" s="6" t="str">
        <f t="shared" si="49"/>
        <v/>
      </c>
      <c r="Q118" s="6" t="str">
        <f t="shared" si="50"/>
        <v/>
      </c>
      <c r="W118" s="24"/>
    </row>
    <row r="119" spans="12:23" x14ac:dyDescent="0.25">
      <c r="L119" s="23">
        <v>9</v>
      </c>
      <c r="M119" s="5" t="str">
        <f t="shared" si="48"/>
        <v/>
      </c>
      <c r="N119" s="5" t="str">
        <f t="shared" si="51"/>
        <v/>
      </c>
      <c r="O119" s="5" t="str">
        <f t="shared" si="52"/>
        <v/>
      </c>
      <c r="P119" s="6" t="str">
        <f t="shared" si="49"/>
        <v/>
      </c>
      <c r="Q119" s="6" t="str">
        <f t="shared" si="50"/>
        <v/>
      </c>
      <c r="W119" s="24"/>
    </row>
    <row r="120" spans="12:23" x14ac:dyDescent="0.25">
      <c r="L120" s="123"/>
      <c r="M120" s="120"/>
      <c r="N120" s="120"/>
      <c r="O120" s="120"/>
      <c r="P120" s="120"/>
      <c r="Q120" s="120"/>
      <c r="R120" s="120"/>
      <c r="W120" s="24"/>
    </row>
    <row r="121" spans="12:23" x14ac:dyDescent="0.25">
      <c r="L121" s="23"/>
      <c r="W121" s="24"/>
    </row>
    <row r="122" spans="12:23" x14ac:dyDescent="0.25">
      <c r="L122" s="196" t="s">
        <v>300</v>
      </c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8"/>
    </row>
    <row r="123" spans="12:23" x14ac:dyDescent="0.25">
      <c r="L123" s="23"/>
      <c r="M123" s="195" t="s">
        <v>144</v>
      </c>
      <c r="N123" s="195"/>
      <c r="Q123" s="195" t="s">
        <v>145</v>
      </c>
      <c r="R123" s="195"/>
      <c r="U123" s="195" t="s">
        <v>308</v>
      </c>
      <c r="V123" s="195"/>
      <c r="W123" s="24"/>
    </row>
    <row r="124" spans="12:23" x14ac:dyDescent="0.25">
      <c r="L124" s="26" t="s">
        <v>3</v>
      </c>
      <c r="M124" s="97" t="s">
        <v>213</v>
      </c>
      <c r="N124" s="97" t="s">
        <v>214</v>
      </c>
      <c r="Q124" s="97" t="s">
        <v>213</v>
      </c>
      <c r="R124" s="97" t="s">
        <v>214</v>
      </c>
      <c r="U124" s="97" t="s">
        <v>213</v>
      </c>
      <c r="V124" s="97" t="s">
        <v>214</v>
      </c>
      <c r="W124" s="24"/>
    </row>
    <row r="125" spans="12:23" x14ac:dyDescent="0.25">
      <c r="L125" s="23">
        <v>1</v>
      </c>
      <c r="M125" s="9" t="e">
        <f>IF(C24&lt;&gt;"", $M$52*$C$7*IF($R$39&lt;$R$41, P111, IF($R$39&lt;2*$R$41, Q111, R111)), "")</f>
        <v>#DIV/0!</v>
      </c>
      <c r="N125" s="9" t="e">
        <f>IF(C24&lt;&gt;"", Loads!$M$52*$W$68*(Loads!O111-Loads!N111)*Loads!$C$7, "")</f>
        <v>#DIV/0!</v>
      </c>
      <c r="O125" s="6" t="e">
        <f>IF(C24&lt;&gt;"", M125+(-1*N125), "")</f>
        <v>#DIV/0!</v>
      </c>
      <c r="Q125" s="9" t="e">
        <f t="shared" ref="Q125:Q133" si="53">IF(C24&lt;&gt;"", $N$52*$C$7*IF($R$39&lt;$R$41, P111, IF($R$39&lt;2*$R$41, Q111, R111)), "")</f>
        <v>#DIV/0!</v>
      </c>
      <c r="R125" s="9" t="e">
        <f>IF(C24&lt;&gt;"", Loads!$M$52*$W$68*(Loads!O111-Loads!N111)*Loads!$C$7, "")</f>
        <v>#DIV/0!</v>
      </c>
      <c r="S125" s="6" t="e">
        <f>IF(C24&lt;&gt;"", Q125+(-1*R125), "")</f>
        <v>#DIV/0!</v>
      </c>
      <c r="U125" s="9" t="e">
        <f t="shared" ref="U125:U133" si="54">IF(C24&lt;&gt;"", $O$52*$C$7*IF($R$39&lt;$R$41, P111, IF($R$39&lt;2*$R$41, Q111, R111)), "")</f>
        <v>#DIV/0!</v>
      </c>
      <c r="V125" s="9" t="e">
        <f>IF(C24&lt;&gt;"", Loads!$O$52*$W$68*(Loads!O111-Loads!N111)*Loads!$C$7, "")</f>
        <v>#DIV/0!</v>
      </c>
      <c r="W125" s="62" t="e">
        <f>IF(C24&lt;&gt;"", U125+(-1*V125), "")</f>
        <v>#DIV/0!</v>
      </c>
    </row>
    <row r="126" spans="12:23" x14ac:dyDescent="0.25">
      <c r="L126" s="23">
        <v>2</v>
      </c>
      <c r="M126" s="9" t="e">
        <f t="shared" ref="M126:M133" si="55">IF(C25&lt;&gt;"", $M$52*$C$7*IF($R$39&lt;$R$41, P112, IF($R$39&lt;2*$R$41, Q112, R112)), "")</f>
        <v>#DIV/0!</v>
      </c>
      <c r="N126" s="9" t="e">
        <f>IF(C25&lt;&gt;"", Loads!$M$52*$W$68*(Loads!O112-Loads!N112)*Loads!$C$7, "")</f>
        <v>#DIV/0!</v>
      </c>
      <c r="O126" s="6" t="e">
        <f t="shared" ref="O126:O133" si="56">IF(C25&lt;&gt;"", M126+(-1*N126), "")</f>
        <v>#DIV/0!</v>
      </c>
      <c r="Q126" s="9" t="e">
        <f t="shared" si="53"/>
        <v>#DIV/0!</v>
      </c>
      <c r="R126" s="9" t="e">
        <f>IF(C25&lt;&gt;"", Loads!$M$52*$W$68*(Loads!O112-Loads!N112)*Loads!$C$7, "")</f>
        <v>#DIV/0!</v>
      </c>
      <c r="S126" s="6" t="e">
        <f t="shared" ref="S126:S133" si="57">IF(C25&lt;&gt;"", Q126+(-1*R126), "")</f>
        <v>#DIV/0!</v>
      </c>
      <c r="U126" s="9" t="e">
        <f t="shared" si="54"/>
        <v>#DIV/0!</v>
      </c>
      <c r="V126" s="9" t="e">
        <f>IF(C25&lt;&gt;"", Loads!$O$52*$W$68*(Loads!O112-Loads!N112)*Loads!$C$7, "")</f>
        <v>#DIV/0!</v>
      </c>
      <c r="W126" s="62" t="e">
        <f t="shared" ref="W126:W133" si="58">IF(C25&lt;&gt;"", U126+(-1*V126), "")</f>
        <v>#DIV/0!</v>
      </c>
    </row>
    <row r="127" spans="12:23" x14ac:dyDescent="0.25">
      <c r="L127" s="23">
        <v>3</v>
      </c>
      <c r="M127" s="9" t="e">
        <f t="shared" si="55"/>
        <v>#DIV/0!</v>
      </c>
      <c r="N127" s="9" t="e">
        <f>IF(C26&lt;&gt;"", Loads!$M$52*$W$68*(Loads!O113-Loads!N113)*Loads!$C$7, "")</f>
        <v>#DIV/0!</v>
      </c>
      <c r="O127" s="6" t="e">
        <f t="shared" si="56"/>
        <v>#DIV/0!</v>
      </c>
      <c r="Q127" s="9" t="e">
        <f t="shared" si="53"/>
        <v>#DIV/0!</v>
      </c>
      <c r="R127" s="9" t="e">
        <f>IF(C26&lt;&gt;"", Loads!$M$52*$W$68*(Loads!O113-Loads!N113)*Loads!$C$7, "")</f>
        <v>#DIV/0!</v>
      </c>
      <c r="S127" s="6" t="e">
        <f t="shared" si="57"/>
        <v>#DIV/0!</v>
      </c>
      <c r="U127" s="9" t="e">
        <f t="shared" si="54"/>
        <v>#DIV/0!</v>
      </c>
      <c r="V127" s="9" t="e">
        <f>IF(C26&lt;&gt;"", Loads!$O$52*$W$68*(Loads!O113-Loads!N113)*Loads!$C$7, "")</f>
        <v>#DIV/0!</v>
      </c>
      <c r="W127" s="62" t="e">
        <f t="shared" si="58"/>
        <v>#DIV/0!</v>
      </c>
    </row>
    <row r="128" spans="12:23" x14ac:dyDescent="0.25">
      <c r="L128" s="23">
        <v>4</v>
      </c>
      <c r="M128" s="9" t="e">
        <f t="shared" si="55"/>
        <v>#DIV/0!</v>
      </c>
      <c r="N128" s="9" t="e">
        <f>IF(C27&lt;&gt;"", Loads!$M$52*$W$68*(Loads!O114-Loads!N114)*Loads!$C$7, "")</f>
        <v>#DIV/0!</v>
      </c>
      <c r="O128" s="6" t="e">
        <f t="shared" si="56"/>
        <v>#DIV/0!</v>
      </c>
      <c r="Q128" s="9" t="e">
        <f t="shared" si="53"/>
        <v>#DIV/0!</v>
      </c>
      <c r="R128" s="9" t="e">
        <f>IF(C27&lt;&gt;"", Loads!$M$52*$W$68*(Loads!O114-Loads!N114)*Loads!$C$7, "")</f>
        <v>#DIV/0!</v>
      </c>
      <c r="S128" s="6" t="e">
        <f t="shared" si="57"/>
        <v>#DIV/0!</v>
      </c>
      <c r="U128" s="9" t="e">
        <f t="shared" si="54"/>
        <v>#DIV/0!</v>
      </c>
      <c r="V128" s="9" t="e">
        <f>IF(C27&lt;&gt;"", Loads!$O$52*$W$68*(Loads!O114-Loads!N114)*Loads!$C$7, "")</f>
        <v>#DIV/0!</v>
      </c>
      <c r="W128" s="62" t="e">
        <f t="shared" si="58"/>
        <v>#DIV/0!</v>
      </c>
    </row>
    <row r="129" spans="12:23" x14ac:dyDescent="0.25">
      <c r="L129" s="23">
        <v>5</v>
      </c>
      <c r="M129" s="9" t="e">
        <f t="shared" si="55"/>
        <v>#DIV/0!</v>
      </c>
      <c r="N129" s="9" t="e">
        <f>IF(C28&lt;&gt;"", Loads!$M$52*$W$68*(Loads!O115-Loads!N115)*Loads!$C$7, "")</f>
        <v>#DIV/0!</v>
      </c>
      <c r="O129" s="6" t="e">
        <f t="shared" si="56"/>
        <v>#DIV/0!</v>
      </c>
      <c r="Q129" s="9" t="e">
        <f t="shared" si="53"/>
        <v>#DIV/0!</v>
      </c>
      <c r="R129" s="9" t="e">
        <f>IF(C28&lt;&gt;"", Loads!$M$52*$W$68*(Loads!O115-Loads!N115)*Loads!$C$7, "")</f>
        <v>#DIV/0!</v>
      </c>
      <c r="S129" s="6" t="e">
        <f t="shared" si="57"/>
        <v>#DIV/0!</v>
      </c>
      <c r="U129" s="9" t="e">
        <f t="shared" si="54"/>
        <v>#DIV/0!</v>
      </c>
      <c r="V129" s="9" t="e">
        <f>IF(C28&lt;&gt;"", Loads!$O$52*$W$68*(Loads!O115-Loads!N115)*Loads!$C$7, "")</f>
        <v>#DIV/0!</v>
      </c>
      <c r="W129" s="62" t="e">
        <f t="shared" si="58"/>
        <v>#DIV/0!</v>
      </c>
    </row>
    <row r="130" spans="12:23" x14ac:dyDescent="0.25">
      <c r="L130" s="23">
        <v>6</v>
      </c>
      <c r="M130" s="9" t="e">
        <f t="shared" si="55"/>
        <v>#DIV/0!</v>
      </c>
      <c r="N130" s="9" t="e">
        <f>IF(C29&lt;&gt;"", Loads!$M$52*$W$68*(Loads!O116-Loads!N116)*Loads!$C$7, "")</f>
        <v>#DIV/0!</v>
      </c>
      <c r="O130" s="6" t="e">
        <f t="shared" si="56"/>
        <v>#DIV/0!</v>
      </c>
      <c r="Q130" s="9" t="e">
        <f t="shared" si="53"/>
        <v>#DIV/0!</v>
      </c>
      <c r="R130" s="9" t="e">
        <f>IF(C29&lt;&gt;"", Loads!$M$52*$W$68*(Loads!O116-Loads!N116)*Loads!$C$7, "")</f>
        <v>#DIV/0!</v>
      </c>
      <c r="S130" s="6" t="e">
        <f t="shared" si="57"/>
        <v>#DIV/0!</v>
      </c>
      <c r="U130" s="9" t="e">
        <f t="shared" si="54"/>
        <v>#DIV/0!</v>
      </c>
      <c r="V130" s="9" t="e">
        <f>IF(C29&lt;&gt;"", Loads!$O$52*$W$68*(Loads!O116-Loads!N116)*Loads!$C$7, "")</f>
        <v>#DIV/0!</v>
      </c>
      <c r="W130" s="62" t="e">
        <f t="shared" si="58"/>
        <v>#DIV/0!</v>
      </c>
    </row>
    <row r="131" spans="12:23" x14ac:dyDescent="0.25">
      <c r="L131" s="23">
        <v>7</v>
      </c>
      <c r="M131" s="9" t="str">
        <f t="shared" si="55"/>
        <v/>
      </c>
      <c r="N131" s="9" t="str">
        <f>IF(C30&lt;&gt;"", Loads!$M$52*$W$68*(Loads!O117-Loads!N117)*Loads!$C$7, "")</f>
        <v/>
      </c>
      <c r="O131" s="6" t="str">
        <f t="shared" si="56"/>
        <v/>
      </c>
      <c r="Q131" s="9" t="str">
        <f t="shared" si="53"/>
        <v/>
      </c>
      <c r="R131" s="9" t="str">
        <f>IF(C30&lt;&gt;"", Loads!$M$52*$W$68*(Loads!O117-Loads!N117)*Loads!$C$7, "")</f>
        <v/>
      </c>
      <c r="S131" s="6" t="str">
        <f t="shared" si="57"/>
        <v/>
      </c>
      <c r="U131" s="9" t="str">
        <f t="shared" si="54"/>
        <v/>
      </c>
      <c r="V131" s="9" t="str">
        <f>IF(C30&lt;&gt;"", Loads!$O$52*$W$68*(Loads!O117-Loads!N117)*Loads!$C$7, "")</f>
        <v/>
      </c>
      <c r="W131" s="62" t="str">
        <f t="shared" si="58"/>
        <v/>
      </c>
    </row>
    <row r="132" spans="12:23" x14ac:dyDescent="0.25">
      <c r="L132" s="23">
        <v>8</v>
      </c>
      <c r="M132" s="9" t="str">
        <f t="shared" si="55"/>
        <v/>
      </c>
      <c r="N132" s="9" t="str">
        <f>IF(C31&lt;&gt;"", Loads!$M$52*$W$68*(Loads!O118-Loads!N118)*Loads!$C$7, "")</f>
        <v/>
      </c>
      <c r="O132" s="6" t="str">
        <f t="shared" si="56"/>
        <v/>
      </c>
      <c r="Q132" s="9" t="str">
        <f t="shared" si="53"/>
        <v/>
      </c>
      <c r="R132" s="9" t="str">
        <f>IF(C31&lt;&gt;"", Loads!$M$52*$W$68*(Loads!O118-Loads!N118)*Loads!$C$7, "")</f>
        <v/>
      </c>
      <c r="S132" s="6" t="str">
        <f t="shared" si="57"/>
        <v/>
      </c>
      <c r="U132" s="9" t="str">
        <f t="shared" si="54"/>
        <v/>
      </c>
      <c r="V132" s="9" t="str">
        <f>IF(C31&lt;&gt;"", Loads!$O$52*$W$68*(Loads!O118-Loads!N118)*Loads!$C$7, "")</f>
        <v/>
      </c>
      <c r="W132" s="62" t="str">
        <f t="shared" si="58"/>
        <v/>
      </c>
    </row>
    <row r="133" spans="12:23" x14ac:dyDescent="0.25">
      <c r="L133" s="23">
        <v>9</v>
      </c>
      <c r="M133" s="9" t="str">
        <f t="shared" si="55"/>
        <v/>
      </c>
      <c r="N133" s="9" t="str">
        <f>IF(C32&lt;&gt;"", Loads!$M$52*$W$68*(Loads!O119-Loads!N119)*Loads!$C$7, "")</f>
        <v/>
      </c>
      <c r="O133" s="6" t="str">
        <f t="shared" si="56"/>
        <v/>
      </c>
      <c r="Q133" s="9" t="str">
        <f t="shared" si="53"/>
        <v/>
      </c>
      <c r="R133" s="9" t="str">
        <f>IF(C32&lt;&gt;"", Loads!$M$52*$W$68*(Loads!O119-Loads!N119)*Loads!$C$7, "")</f>
        <v/>
      </c>
      <c r="S133" s="6" t="str">
        <f t="shared" si="57"/>
        <v/>
      </c>
      <c r="U133" s="9" t="str">
        <f t="shared" si="54"/>
        <v/>
      </c>
      <c r="V133" s="9" t="str">
        <f>IF(C32&lt;&gt;"", Loads!$O$52*$W$68*(Loads!O119-Loads!N119)*Loads!$C$7, "")</f>
        <v/>
      </c>
      <c r="W133" s="62" t="str">
        <f t="shared" si="58"/>
        <v/>
      </c>
    </row>
    <row r="134" spans="12:23" ht="15.75" thickBot="1" x14ac:dyDescent="0.3">
      <c r="L134" s="125" t="s">
        <v>148</v>
      </c>
      <c r="M134" s="98" t="e">
        <f>SUM(M125:M133)</f>
        <v>#DIV/0!</v>
      </c>
      <c r="N134" s="98" t="e">
        <f>SUM(N125:N133)</f>
        <v>#DIV/0!</v>
      </c>
      <c r="O134" s="134" t="e">
        <f>M134+(-1*N134)</f>
        <v>#DIV/0!</v>
      </c>
      <c r="Q134" s="98" t="e">
        <f>SUM(Q125:Q133)</f>
        <v>#DIV/0!</v>
      </c>
      <c r="R134" s="98" t="e">
        <f>SUM(R125:R133)</f>
        <v>#DIV/0!</v>
      </c>
      <c r="S134" s="134" t="e">
        <f>Q134+(-1*R134)</f>
        <v>#DIV/0!</v>
      </c>
      <c r="U134" s="98" t="e">
        <f>SUM(U125:U133)</f>
        <v>#DIV/0!</v>
      </c>
      <c r="V134" s="98" t="e">
        <f>SUM(V125:V133)</f>
        <v>#DIV/0!</v>
      </c>
      <c r="W134" s="135" t="e">
        <f>U134+(-1*V134)</f>
        <v>#DIV/0!</v>
      </c>
    </row>
    <row r="135" spans="12:23" x14ac:dyDescent="0.25">
      <c r="L135" s="23"/>
      <c r="W135" s="24"/>
    </row>
    <row r="136" spans="12:23" x14ac:dyDescent="0.25">
      <c r="L136" s="196" t="s">
        <v>215</v>
      </c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8"/>
    </row>
    <row r="137" spans="12:23" x14ac:dyDescent="0.25">
      <c r="L137" s="23"/>
      <c r="M137" s="195" t="s">
        <v>144</v>
      </c>
      <c r="N137" s="195"/>
      <c r="Q137" s="195" t="s">
        <v>145</v>
      </c>
      <c r="R137" s="195"/>
      <c r="U137" s="195" t="s">
        <v>308</v>
      </c>
      <c r="V137" s="195"/>
      <c r="W137" s="24"/>
    </row>
    <row r="138" spans="12:23" x14ac:dyDescent="0.25">
      <c r="L138" s="26" t="s">
        <v>3</v>
      </c>
      <c r="M138" s="97" t="s">
        <v>213</v>
      </c>
      <c r="N138" s="97" t="s">
        <v>214</v>
      </c>
      <c r="Q138" s="97" t="s">
        <v>213</v>
      </c>
      <c r="R138" s="97" t="s">
        <v>214</v>
      </c>
      <c r="U138" s="97" t="s">
        <v>213</v>
      </c>
      <c r="V138" s="97" t="s">
        <v>214</v>
      </c>
      <c r="W138" s="24"/>
    </row>
    <row r="139" spans="12:23" x14ac:dyDescent="0.25">
      <c r="L139" s="23">
        <v>1</v>
      </c>
      <c r="M139" s="9" t="e">
        <f>IF(C24&lt;&gt;"", M125*$E$14*$E$15, "")</f>
        <v>#DIV/0!</v>
      </c>
      <c r="N139" s="9" t="e">
        <f t="shared" ref="N139:N147" si="59">IF(C24&lt;&gt;"", N125*$E$14*$E$15, "")</f>
        <v>#DIV/0!</v>
      </c>
      <c r="O139" s="6" t="e">
        <f>IF(C24&lt;&gt;"", M139+(-1*N139), "")</f>
        <v>#DIV/0!</v>
      </c>
      <c r="Q139" s="9" t="e">
        <f t="shared" ref="Q139:Q147" si="60">IF(C24&lt;&gt;"", Q125*$E$14, "")</f>
        <v>#DIV/0!</v>
      </c>
      <c r="R139" s="9" t="e">
        <f t="shared" ref="R139:R147" si="61">IF(C24&lt;&gt;"", R125*$E$14, "")</f>
        <v>#DIV/0!</v>
      </c>
      <c r="S139" s="6" t="e">
        <f>IF(C24&lt;&gt;"", Q139+(-1*R139), "")</f>
        <v>#DIV/0!</v>
      </c>
      <c r="U139" s="9" t="e">
        <f t="shared" ref="U139:U147" si="62">IF(C24&lt;&gt;"", U125*$E$14*$E$15, "")</f>
        <v>#DIV/0!</v>
      </c>
      <c r="V139" s="9" t="e">
        <f t="shared" ref="V139:V147" si="63">IF(C24&lt;&gt;"", V125*$E$14*$E$15, "")</f>
        <v>#DIV/0!</v>
      </c>
      <c r="W139" s="62" t="e">
        <f>IF(C24&lt;&gt;"", U139+(-1*V139), "")</f>
        <v>#DIV/0!</v>
      </c>
    </row>
    <row r="140" spans="12:23" x14ac:dyDescent="0.25">
      <c r="L140" s="23">
        <v>2</v>
      </c>
      <c r="M140" s="9" t="e">
        <f t="shared" ref="M140:M147" si="64">IF(C25&lt;&gt;"", M126*$E$14*$E$15, "")</f>
        <v>#DIV/0!</v>
      </c>
      <c r="N140" s="9" t="e">
        <f t="shared" si="59"/>
        <v>#DIV/0!</v>
      </c>
      <c r="O140" s="6" t="e">
        <f t="shared" ref="O140:O147" si="65">IF(C25&lt;&gt;"", M140+(-1*N140), "")</f>
        <v>#DIV/0!</v>
      </c>
      <c r="Q140" s="9" t="e">
        <f t="shared" si="60"/>
        <v>#DIV/0!</v>
      </c>
      <c r="R140" s="9" t="e">
        <f t="shared" si="61"/>
        <v>#DIV/0!</v>
      </c>
      <c r="S140" s="6" t="e">
        <f t="shared" ref="S140:S147" si="66">IF(C25&lt;&gt;"", Q140+(-1*R140), "")</f>
        <v>#DIV/0!</v>
      </c>
      <c r="U140" s="9" t="e">
        <f t="shared" si="62"/>
        <v>#DIV/0!</v>
      </c>
      <c r="V140" s="9" t="e">
        <f t="shared" si="63"/>
        <v>#DIV/0!</v>
      </c>
      <c r="W140" s="62" t="e">
        <f t="shared" ref="W140:W147" si="67">IF(C25&lt;&gt;"", U140+(-1*V140), "")</f>
        <v>#DIV/0!</v>
      </c>
    </row>
    <row r="141" spans="12:23" x14ac:dyDescent="0.25">
      <c r="L141" s="23">
        <v>3</v>
      </c>
      <c r="M141" s="9" t="e">
        <f t="shared" si="64"/>
        <v>#DIV/0!</v>
      </c>
      <c r="N141" s="9" t="e">
        <f t="shared" si="59"/>
        <v>#DIV/0!</v>
      </c>
      <c r="O141" s="6" t="e">
        <f t="shared" si="65"/>
        <v>#DIV/0!</v>
      </c>
      <c r="Q141" s="9" t="e">
        <f t="shared" si="60"/>
        <v>#DIV/0!</v>
      </c>
      <c r="R141" s="9" t="e">
        <f t="shared" si="61"/>
        <v>#DIV/0!</v>
      </c>
      <c r="S141" s="6" t="e">
        <f t="shared" si="66"/>
        <v>#DIV/0!</v>
      </c>
      <c r="U141" s="9" t="e">
        <f t="shared" si="62"/>
        <v>#DIV/0!</v>
      </c>
      <c r="V141" s="9" t="e">
        <f t="shared" si="63"/>
        <v>#DIV/0!</v>
      </c>
      <c r="W141" s="62" t="e">
        <f t="shared" si="67"/>
        <v>#DIV/0!</v>
      </c>
    </row>
    <row r="142" spans="12:23" x14ac:dyDescent="0.25">
      <c r="L142" s="23">
        <v>4</v>
      </c>
      <c r="M142" s="9" t="e">
        <f t="shared" si="64"/>
        <v>#DIV/0!</v>
      </c>
      <c r="N142" s="9" t="e">
        <f t="shared" si="59"/>
        <v>#DIV/0!</v>
      </c>
      <c r="O142" s="6" t="e">
        <f t="shared" si="65"/>
        <v>#DIV/0!</v>
      </c>
      <c r="Q142" s="9" t="e">
        <f t="shared" si="60"/>
        <v>#DIV/0!</v>
      </c>
      <c r="R142" s="9" t="e">
        <f t="shared" si="61"/>
        <v>#DIV/0!</v>
      </c>
      <c r="S142" s="6" t="e">
        <f t="shared" si="66"/>
        <v>#DIV/0!</v>
      </c>
      <c r="U142" s="9" t="e">
        <f t="shared" si="62"/>
        <v>#DIV/0!</v>
      </c>
      <c r="V142" s="9" t="e">
        <f t="shared" si="63"/>
        <v>#DIV/0!</v>
      </c>
      <c r="W142" s="62" t="e">
        <f t="shared" si="67"/>
        <v>#DIV/0!</v>
      </c>
    </row>
    <row r="143" spans="12:23" x14ac:dyDescent="0.25">
      <c r="L143" s="23">
        <v>5</v>
      </c>
      <c r="M143" s="9" t="e">
        <f t="shared" si="64"/>
        <v>#DIV/0!</v>
      </c>
      <c r="N143" s="9" t="e">
        <f t="shared" si="59"/>
        <v>#DIV/0!</v>
      </c>
      <c r="O143" s="6" t="e">
        <f t="shared" si="65"/>
        <v>#DIV/0!</v>
      </c>
      <c r="Q143" s="9" t="e">
        <f t="shared" si="60"/>
        <v>#DIV/0!</v>
      </c>
      <c r="R143" s="9" t="e">
        <f t="shared" si="61"/>
        <v>#DIV/0!</v>
      </c>
      <c r="S143" s="6" t="e">
        <f t="shared" si="66"/>
        <v>#DIV/0!</v>
      </c>
      <c r="U143" s="9" t="e">
        <f t="shared" si="62"/>
        <v>#DIV/0!</v>
      </c>
      <c r="V143" s="9" t="e">
        <f t="shared" si="63"/>
        <v>#DIV/0!</v>
      </c>
      <c r="W143" s="62" t="e">
        <f t="shared" si="67"/>
        <v>#DIV/0!</v>
      </c>
    </row>
    <row r="144" spans="12:23" x14ac:dyDescent="0.25">
      <c r="L144" s="23">
        <v>6</v>
      </c>
      <c r="M144" s="9" t="e">
        <f t="shared" si="64"/>
        <v>#DIV/0!</v>
      </c>
      <c r="N144" s="9" t="e">
        <f t="shared" si="59"/>
        <v>#DIV/0!</v>
      </c>
      <c r="O144" s="6" t="e">
        <f t="shared" si="65"/>
        <v>#DIV/0!</v>
      </c>
      <c r="Q144" s="9" t="e">
        <f t="shared" si="60"/>
        <v>#DIV/0!</v>
      </c>
      <c r="R144" s="9" t="e">
        <f t="shared" si="61"/>
        <v>#DIV/0!</v>
      </c>
      <c r="S144" s="6" t="e">
        <f t="shared" si="66"/>
        <v>#DIV/0!</v>
      </c>
      <c r="U144" s="9" t="e">
        <f t="shared" si="62"/>
        <v>#DIV/0!</v>
      </c>
      <c r="V144" s="9" t="e">
        <f t="shared" si="63"/>
        <v>#DIV/0!</v>
      </c>
      <c r="W144" s="62" t="e">
        <f t="shared" si="67"/>
        <v>#DIV/0!</v>
      </c>
    </row>
    <row r="145" spans="12:23" x14ac:dyDescent="0.25">
      <c r="L145" s="23">
        <v>7</v>
      </c>
      <c r="M145" s="9" t="str">
        <f t="shared" si="64"/>
        <v/>
      </c>
      <c r="N145" s="9" t="str">
        <f t="shared" si="59"/>
        <v/>
      </c>
      <c r="O145" s="6" t="str">
        <f t="shared" si="65"/>
        <v/>
      </c>
      <c r="Q145" s="9" t="str">
        <f t="shared" si="60"/>
        <v/>
      </c>
      <c r="R145" s="9" t="str">
        <f t="shared" si="61"/>
        <v/>
      </c>
      <c r="S145" s="6" t="str">
        <f t="shared" si="66"/>
        <v/>
      </c>
      <c r="U145" s="9" t="str">
        <f t="shared" si="62"/>
        <v/>
      </c>
      <c r="V145" s="9" t="str">
        <f t="shared" si="63"/>
        <v/>
      </c>
      <c r="W145" s="62" t="str">
        <f t="shared" si="67"/>
        <v/>
      </c>
    </row>
    <row r="146" spans="12:23" x14ac:dyDescent="0.25">
      <c r="L146" s="23">
        <v>8</v>
      </c>
      <c r="M146" s="9" t="str">
        <f t="shared" si="64"/>
        <v/>
      </c>
      <c r="N146" s="9" t="str">
        <f t="shared" si="59"/>
        <v/>
      </c>
      <c r="O146" s="6" t="str">
        <f t="shared" si="65"/>
        <v/>
      </c>
      <c r="Q146" s="9" t="str">
        <f t="shared" si="60"/>
        <v/>
      </c>
      <c r="R146" s="9" t="str">
        <f t="shared" si="61"/>
        <v/>
      </c>
      <c r="S146" s="6" t="str">
        <f t="shared" si="66"/>
        <v/>
      </c>
      <c r="U146" s="9" t="str">
        <f t="shared" si="62"/>
        <v/>
      </c>
      <c r="V146" s="9" t="str">
        <f t="shared" si="63"/>
        <v/>
      </c>
      <c r="W146" s="62" t="str">
        <f t="shared" si="67"/>
        <v/>
      </c>
    </row>
    <row r="147" spans="12:23" x14ac:dyDescent="0.25">
      <c r="L147" s="23">
        <v>9</v>
      </c>
      <c r="M147" s="9" t="str">
        <f t="shared" si="64"/>
        <v/>
      </c>
      <c r="N147" s="9" t="str">
        <f t="shared" si="59"/>
        <v/>
      </c>
      <c r="O147" s="6" t="str">
        <f t="shared" si="65"/>
        <v/>
      </c>
      <c r="Q147" s="9" t="str">
        <f t="shared" si="60"/>
        <v/>
      </c>
      <c r="R147" s="9" t="str">
        <f t="shared" si="61"/>
        <v/>
      </c>
      <c r="S147" s="6" t="str">
        <f t="shared" si="66"/>
        <v/>
      </c>
      <c r="U147" s="9" t="str">
        <f t="shared" si="62"/>
        <v/>
      </c>
      <c r="V147" s="9" t="str">
        <f t="shared" si="63"/>
        <v/>
      </c>
      <c r="W147" s="62" t="str">
        <f t="shared" si="67"/>
        <v/>
      </c>
    </row>
    <row r="148" spans="12:23" ht="15.75" thickBot="1" x14ac:dyDescent="0.3">
      <c r="L148" s="126" t="s">
        <v>148</v>
      </c>
      <c r="M148" s="98" t="e">
        <f>SUM(M139:M147)</f>
        <v>#DIV/0!</v>
      </c>
      <c r="N148" s="98" t="e">
        <f>SUM(N139:N147)</f>
        <v>#DIV/0!</v>
      </c>
      <c r="O148" s="134" t="e">
        <f>M148+(-1*N148)</f>
        <v>#DIV/0!</v>
      </c>
      <c r="P148" s="29"/>
      <c r="Q148" s="98" t="e">
        <f>SUM(Q139:Q147)</f>
        <v>#DIV/0!</v>
      </c>
      <c r="R148" s="98" t="e">
        <f>SUM(R139:R147)</f>
        <v>#DIV/0!</v>
      </c>
      <c r="S148" s="134" t="e">
        <f>Q148+(-1*R148)</f>
        <v>#DIV/0!</v>
      </c>
      <c r="T148" s="29"/>
      <c r="U148" s="98" t="e">
        <f>SUM(U139:U147)</f>
        <v>#DIV/0!</v>
      </c>
      <c r="V148" s="98" t="e">
        <f>SUM(V139:V147)</f>
        <v>#DIV/0!</v>
      </c>
      <c r="W148" s="135" t="e">
        <f>U148+(-1*V148)</f>
        <v>#DIV/0!</v>
      </c>
    </row>
  </sheetData>
  <mergeCells count="8">
    <mergeCell ref="U137:V137"/>
    <mergeCell ref="M137:N137"/>
    <mergeCell ref="M123:N123"/>
    <mergeCell ref="L122:W122"/>
    <mergeCell ref="L136:W136"/>
    <mergeCell ref="Q123:R123"/>
    <mergeCell ref="U123:V123"/>
    <mergeCell ref="Q137:R13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563A-0350-4F2D-BCCD-EF0BE2A3F8B1}">
  <dimension ref="B2:R25"/>
  <sheetViews>
    <sheetView workbookViewId="0">
      <selection activeCell="B5" activeCellId="2" sqref="C13:J18 B9:M9 B5:L5"/>
    </sheetView>
  </sheetViews>
  <sheetFormatPr baseColWidth="10" defaultRowHeight="15" x14ac:dyDescent="0.25"/>
  <cols>
    <col min="3" max="3" width="15.140625" customWidth="1"/>
    <col min="4" max="5" width="14.28515625" bestFit="1" customWidth="1"/>
    <col min="7" max="7" width="15.7109375" customWidth="1"/>
    <col min="9" max="9" width="15.140625" bestFit="1" customWidth="1"/>
    <col min="10" max="10" width="15.42578125" customWidth="1"/>
    <col min="11" max="11" width="15.28515625" customWidth="1"/>
    <col min="13" max="13" width="15.140625" bestFit="1" customWidth="1"/>
  </cols>
  <sheetData>
    <row r="2" spans="2:18" ht="15.75" thickBot="1" x14ac:dyDescent="0.3"/>
    <row r="3" spans="2:18" x14ac:dyDescent="0.25">
      <c r="B3" s="85" t="s">
        <v>219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155"/>
      <c r="P3" s="93" t="s">
        <v>233</v>
      </c>
      <c r="Q3" s="32"/>
      <c r="R3" s="33"/>
    </row>
    <row r="4" spans="2:18" ht="18" x14ac:dyDescent="0.35">
      <c r="B4" s="57" t="s">
        <v>63</v>
      </c>
      <c r="C4" s="102" t="s">
        <v>290</v>
      </c>
      <c r="D4" s="102" t="s">
        <v>289</v>
      </c>
      <c r="E4" s="102" t="s">
        <v>236</v>
      </c>
      <c r="F4" s="102" t="s">
        <v>66</v>
      </c>
      <c r="G4" s="102" t="s">
        <v>48</v>
      </c>
      <c r="H4" s="102" t="s">
        <v>237</v>
      </c>
      <c r="I4" s="102" t="s">
        <v>238</v>
      </c>
      <c r="J4" s="102" t="s">
        <v>239</v>
      </c>
      <c r="K4" s="102" t="s">
        <v>64</v>
      </c>
      <c r="L4" s="102" t="s">
        <v>254</v>
      </c>
      <c r="M4" s="103" t="s">
        <v>240</v>
      </c>
      <c r="N4" s="2"/>
      <c r="P4" s="26" t="s">
        <v>246</v>
      </c>
      <c r="Q4" s="4">
        <v>23.5</v>
      </c>
      <c r="R4" s="24" t="s">
        <v>61</v>
      </c>
    </row>
    <row r="5" spans="2:18" ht="15.75" thickBot="1" x14ac:dyDescent="0.3">
      <c r="B5" s="212" t="s">
        <v>370</v>
      </c>
      <c r="C5" s="213">
        <v>2</v>
      </c>
      <c r="D5" s="213">
        <v>21240</v>
      </c>
      <c r="E5" s="213">
        <v>23950</v>
      </c>
      <c r="F5" s="213">
        <v>1709</v>
      </c>
      <c r="G5" s="213">
        <v>36</v>
      </c>
      <c r="H5" s="213">
        <v>17</v>
      </c>
      <c r="I5" s="213">
        <v>0.8</v>
      </c>
      <c r="J5" s="213">
        <v>1.27</v>
      </c>
      <c r="K5" s="213">
        <v>72.7</v>
      </c>
      <c r="L5" s="213">
        <v>16270</v>
      </c>
      <c r="M5" s="39">
        <f>G5-2*J5</f>
        <v>33.46</v>
      </c>
      <c r="N5" s="5"/>
      <c r="P5" s="94" t="s">
        <v>90</v>
      </c>
      <c r="Q5" s="4">
        <v>21000</v>
      </c>
      <c r="R5" s="24" t="s">
        <v>61</v>
      </c>
    </row>
    <row r="6" spans="2:18" ht="18.75" thickBot="1" x14ac:dyDescent="0.4">
      <c r="P6" s="94" t="s">
        <v>244</v>
      </c>
      <c r="Q6" s="4">
        <v>1</v>
      </c>
      <c r="R6" s="24"/>
    </row>
    <row r="7" spans="2:18" ht="18" x14ac:dyDescent="0.35">
      <c r="B7" s="85" t="s">
        <v>220</v>
      </c>
      <c r="C7" s="83"/>
      <c r="D7" s="83"/>
      <c r="E7" s="83"/>
      <c r="F7" s="83"/>
      <c r="G7" s="83"/>
      <c r="H7" s="83"/>
      <c r="I7" s="83"/>
      <c r="J7" s="83"/>
      <c r="K7" s="32"/>
      <c r="L7" s="32"/>
      <c r="M7" s="32"/>
      <c r="N7" s="84"/>
      <c r="P7" s="94" t="s">
        <v>245</v>
      </c>
      <c r="Q7" s="4">
        <v>1.1000000000000001</v>
      </c>
      <c r="R7" s="24"/>
    </row>
    <row r="8" spans="2:18" ht="18" x14ac:dyDescent="0.35">
      <c r="B8" s="57" t="s">
        <v>63</v>
      </c>
      <c r="C8" s="102" t="s">
        <v>48</v>
      </c>
      <c r="D8" s="102" t="s">
        <v>237</v>
      </c>
      <c r="E8" s="102" t="s">
        <v>238</v>
      </c>
      <c r="F8" s="102" t="s">
        <v>239</v>
      </c>
      <c r="G8" s="102" t="s">
        <v>64</v>
      </c>
      <c r="H8" s="102" t="s">
        <v>254</v>
      </c>
      <c r="I8" s="102" t="s">
        <v>348</v>
      </c>
      <c r="J8" s="102" t="s">
        <v>255</v>
      </c>
      <c r="K8" s="169" t="s">
        <v>350</v>
      </c>
      <c r="L8" s="169" t="s">
        <v>349</v>
      </c>
      <c r="M8" s="169" t="s">
        <v>241</v>
      </c>
      <c r="N8" s="103" t="s">
        <v>240</v>
      </c>
      <c r="P8" s="94" t="s">
        <v>242</v>
      </c>
      <c r="Q8" s="4">
        <v>93.9</v>
      </c>
      <c r="R8" s="24"/>
    </row>
    <row r="9" spans="2:18" ht="18.75" thickBot="1" x14ac:dyDescent="0.4">
      <c r="B9" s="212" t="s">
        <v>369</v>
      </c>
      <c r="C9" s="213">
        <v>65</v>
      </c>
      <c r="D9" s="214">
        <v>30</v>
      </c>
      <c r="E9" s="214">
        <v>1.7</v>
      </c>
      <c r="F9" s="214">
        <v>3.2</v>
      </c>
      <c r="G9" s="214">
        <v>286.3</v>
      </c>
      <c r="H9" s="213">
        <v>256900</v>
      </c>
      <c r="I9" s="213">
        <v>29</v>
      </c>
      <c r="J9" s="213">
        <v>6.87</v>
      </c>
      <c r="K9" s="213">
        <v>0.21</v>
      </c>
      <c r="L9" s="213">
        <v>0.34</v>
      </c>
      <c r="M9" s="213">
        <v>172020</v>
      </c>
      <c r="N9" s="156">
        <f>C9-2*F9</f>
        <v>58.6</v>
      </c>
      <c r="P9" s="94" t="s">
        <v>243</v>
      </c>
      <c r="Q9" s="4">
        <v>1.45</v>
      </c>
      <c r="R9" s="24"/>
    </row>
    <row r="10" spans="2:18" ht="18.75" thickBot="1" x14ac:dyDescent="0.4">
      <c r="P10" s="53" t="s">
        <v>259</v>
      </c>
      <c r="Q10" s="37">
        <v>1.1000000000000001</v>
      </c>
      <c r="R10" s="30"/>
    </row>
    <row r="11" spans="2:18" x14ac:dyDescent="0.25">
      <c r="B11" s="85" t="s">
        <v>223</v>
      </c>
      <c r="C11" s="83"/>
      <c r="D11" s="83"/>
      <c r="E11" s="83"/>
      <c r="F11" s="83"/>
      <c r="G11" s="83"/>
      <c r="H11" s="83"/>
      <c r="I11" s="83"/>
      <c r="J11" s="84"/>
    </row>
    <row r="12" spans="2:18" ht="16.5" x14ac:dyDescent="0.25">
      <c r="B12" s="86" t="s">
        <v>3</v>
      </c>
      <c r="C12" s="87" t="s">
        <v>63</v>
      </c>
      <c r="D12" s="87" t="s">
        <v>234</v>
      </c>
      <c r="E12" s="87" t="s">
        <v>235</v>
      </c>
      <c r="F12" s="87" t="s">
        <v>64</v>
      </c>
      <c r="G12" s="87" t="s">
        <v>70</v>
      </c>
      <c r="H12" s="87" t="s">
        <v>254</v>
      </c>
      <c r="I12" s="90" t="s">
        <v>74</v>
      </c>
      <c r="J12" s="88" t="s">
        <v>241</v>
      </c>
    </row>
    <row r="13" spans="2:18" x14ac:dyDescent="0.25">
      <c r="B13" s="91">
        <v>1</v>
      </c>
      <c r="C13" s="207" t="s">
        <v>330</v>
      </c>
      <c r="D13" s="206">
        <v>193.7</v>
      </c>
      <c r="E13" s="206">
        <v>6</v>
      </c>
      <c r="F13" s="208">
        <v>35.380000000000003</v>
      </c>
      <c r="G13" s="209">
        <v>6.64</v>
      </c>
      <c r="H13" s="210">
        <v>1560</v>
      </c>
      <c r="I13" s="209">
        <v>0.49</v>
      </c>
      <c r="J13" s="211">
        <v>4970.3</v>
      </c>
    </row>
    <row r="14" spans="2:18" x14ac:dyDescent="0.25">
      <c r="B14" s="91">
        <v>2</v>
      </c>
      <c r="C14" s="207" t="s">
        <v>330</v>
      </c>
      <c r="D14" s="206">
        <v>193.7</v>
      </c>
      <c r="E14" s="206">
        <v>6</v>
      </c>
      <c r="F14" s="208">
        <v>35.380000000000003</v>
      </c>
      <c r="G14" s="209">
        <v>6.64</v>
      </c>
      <c r="H14" s="210">
        <v>1560</v>
      </c>
      <c r="I14" s="209">
        <v>0.49</v>
      </c>
      <c r="J14" s="211">
        <v>4970.3</v>
      </c>
    </row>
    <row r="15" spans="2:18" x14ac:dyDescent="0.25">
      <c r="B15" s="91">
        <v>3</v>
      </c>
      <c r="C15" s="207" t="s">
        <v>333</v>
      </c>
      <c r="D15" s="206">
        <v>177.8</v>
      </c>
      <c r="E15" s="206">
        <v>6.3</v>
      </c>
      <c r="F15" s="208">
        <v>32.380000000000003</v>
      </c>
      <c r="G15" s="209">
        <v>6.08</v>
      </c>
      <c r="H15" s="210">
        <v>1196</v>
      </c>
      <c r="I15" s="209">
        <v>0.49</v>
      </c>
      <c r="J15" s="211">
        <v>4164.2</v>
      </c>
    </row>
    <row r="16" spans="2:18" x14ac:dyDescent="0.25">
      <c r="B16" s="91">
        <v>4</v>
      </c>
      <c r="C16" s="207" t="s">
        <v>371</v>
      </c>
      <c r="D16" s="206">
        <v>168.3</v>
      </c>
      <c r="E16" s="206">
        <v>6</v>
      </c>
      <c r="F16" s="208">
        <v>30.59</v>
      </c>
      <c r="G16" s="209">
        <v>5.74</v>
      </c>
      <c r="H16" s="210">
        <v>1009</v>
      </c>
      <c r="I16" s="209">
        <v>0.49</v>
      </c>
      <c r="J16" s="211">
        <v>3715.4</v>
      </c>
    </row>
    <row r="17" spans="2:14" x14ac:dyDescent="0.25">
      <c r="B17" s="91">
        <v>5</v>
      </c>
      <c r="C17" s="207" t="s">
        <v>372</v>
      </c>
      <c r="D17" s="206">
        <v>139.69999999999999</v>
      </c>
      <c r="E17" s="206">
        <v>6.3</v>
      </c>
      <c r="F17" s="208">
        <v>26.4</v>
      </c>
      <c r="G17" s="209">
        <v>4.72</v>
      </c>
      <c r="H17" s="210">
        <v>588.6</v>
      </c>
      <c r="I17" s="209">
        <v>0.49</v>
      </c>
      <c r="J17" s="211">
        <v>2636.7</v>
      </c>
    </row>
    <row r="18" spans="2:14" x14ac:dyDescent="0.25">
      <c r="B18" s="91">
        <v>6</v>
      </c>
      <c r="C18" s="207" t="s">
        <v>333</v>
      </c>
      <c r="D18" s="206">
        <v>177.8</v>
      </c>
      <c r="E18" s="206">
        <v>6.3</v>
      </c>
      <c r="F18" s="208">
        <v>32.380000000000003</v>
      </c>
      <c r="G18" s="209">
        <v>6.08</v>
      </c>
      <c r="H18" s="210">
        <v>1196</v>
      </c>
      <c r="I18" s="209">
        <v>0.49</v>
      </c>
      <c r="J18" s="211">
        <v>4164.2</v>
      </c>
    </row>
    <row r="19" spans="2:14" x14ac:dyDescent="0.25">
      <c r="B19" s="91">
        <v>7</v>
      </c>
      <c r="C19" s="11"/>
      <c r="D19" s="4"/>
      <c r="E19" s="4"/>
      <c r="F19" s="139"/>
      <c r="G19" s="140"/>
      <c r="H19" s="142"/>
      <c r="I19" s="140"/>
      <c r="J19" s="141"/>
    </row>
    <row r="20" spans="2:14" x14ac:dyDescent="0.25">
      <c r="B20" s="91">
        <v>8</v>
      </c>
      <c r="C20" s="11"/>
      <c r="D20" s="4"/>
      <c r="E20" s="4"/>
      <c r="F20" s="140"/>
      <c r="G20" s="140"/>
      <c r="H20" s="142"/>
      <c r="I20" s="140"/>
      <c r="J20" s="141"/>
    </row>
    <row r="21" spans="2:14" ht="15.75" thickBot="1" x14ac:dyDescent="0.3">
      <c r="B21" s="92">
        <v>9</v>
      </c>
      <c r="C21" s="89"/>
      <c r="D21" s="37"/>
      <c r="E21" s="37"/>
      <c r="F21" s="143"/>
      <c r="G21" s="143"/>
      <c r="H21" s="145"/>
      <c r="I21" s="146"/>
      <c r="J21" s="144"/>
    </row>
    <row r="25" spans="2:14" x14ac:dyDescent="0.25">
      <c r="B25" s="4"/>
      <c r="C25" s="4"/>
      <c r="D25" s="12"/>
      <c r="E25" s="12"/>
      <c r="F25" s="12"/>
      <c r="G25" s="12"/>
      <c r="H25" s="4"/>
      <c r="I25" s="4"/>
      <c r="J25" s="4"/>
      <c r="K25" s="4"/>
      <c r="L25" s="4"/>
      <c r="M25" s="4"/>
      <c r="N25" s="20"/>
    </row>
  </sheetData>
  <phoneticPr fontId="20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6643-04BF-45CF-8ECA-E04CD94177C3}">
  <dimension ref="B2:Z82"/>
  <sheetViews>
    <sheetView topLeftCell="A51" zoomScale="85" zoomScaleNormal="85" workbookViewId="0">
      <selection activeCell="N85" sqref="N85"/>
    </sheetView>
  </sheetViews>
  <sheetFormatPr baseColWidth="10" defaultRowHeight="15" x14ac:dyDescent="0.25"/>
  <cols>
    <col min="7" max="7" width="11.42578125" customWidth="1"/>
  </cols>
  <sheetData>
    <row r="2" spans="2:19" ht="15.75" thickBot="1" x14ac:dyDescent="0.3"/>
    <row r="3" spans="2:19" x14ac:dyDescent="0.25">
      <c r="B3" s="182" t="s">
        <v>60</v>
      </c>
      <c r="C3" s="165">
        <f>'Cross Sections and Materials'!Q4</f>
        <v>23.5</v>
      </c>
      <c r="D3" s="129" t="s">
        <v>61</v>
      </c>
    </row>
    <row r="4" spans="2:19" x14ac:dyDescent="0.25">
      <c r="B4" s="23" t="s">
        <v>62</v>
      </c>
      <c r="C4" s="5">
        <f>'Cross Sections and Materials'!Q6</f>
        <v>1</v>
      </c>
      <c r="D4" s="24"/>
    </row>
    <row r="5" spans="2:19" x14ac:dyDescent="0.25">
      <c r="B5" s="23" t="s">
        <v>134</v>
      </c>
      <c r="C5" s="5">
        <f>'Cross Sections and Materials'!Q7</f>
        <v>1.1000000000000001</v>
      </c>
      <c r="D5" s="24"/>
    </row>
    <row r="6" spans="2:19" ht="18.75" thickBot="1" x14ac:dyDescent="0.4">
      <c r="B6" s="183" t="s">
        <v>72</v>
      </c>
      <c r="C6" s="38">
        <f>'Cross Sections and Materials'!Q8</f>
        <v>93.9</v>
      </c>
      <c r="D6" s="30"/>
    </row>
    <row r="7" spans="2:19" x14ac:dyDescent="0.25">
      <c r="C7" s="4"/>
    </row>
    <row r="8" spans="2:19" x14ac:dyDescent="0.25">
      <c r="B8" s="10" t="s">
        <v>219</v>
      </c>
    </row>
    <row r="9" spans="2:19" x14ac:dyDescent="0.25">
      <c r="B9" t="s">
        <v>216</v>
      </c>
      <c r="E9" s="2"/>
      <c r="F9" s="2"/>
      <c r="G9" s="2"/>
      <c r="I9" s="2"/>
      <c r="J9" s="2"/>
      <c r="K9" s="2"/>
      <c r="Q9" s="2"/>
      <c r="R9" s="2"/>
      <c r="S9" s="2"/>
    </row>
    <row r="10" spans="2:19" ht="15.75" thickBot="1" x14ac:dyDescent="0.3">
      <c r="E10" s="2"/>
      <c r="F10" s="2"/>
      <c r="G10" s="2"/>
      <c r="I10" s="2"/>
      <c r="J10" s="2"/>
      <c r="K10" s="2"/>
      <c r="Q10" s="2"/>
      <c r="R10" s="2"/>
      <c r="S10" s="2"/>
    </row>
    <row r="11" spans="2:19" x14ac:dyDescent="0.25">
      <c r="B11" s="31" t="s">
        <v>217</v>
      </c>
      <c r="C11" s="40"/>
      <c r="D11" s="40"/>
      <c r="E11" s="40"/>
      <c r="F11" s="41"/>
      <c r="G11" s="2"/>
      <c r="H11" s="31" t="s">
        <v>218</v>
      </c>
      <c r="I11" s="40"/>
      <c r="J11" s="40"/>
      <c r="K11" s="40"/>
      <c r="L11" s="40"/>
      <c r="M11" s="40"/>
      <c r="N11" s="40"/>
      <c r="O11" s="40"/>
      <c r="P11" s="40"/>
      <c r="Q11" s="41"/>
      <c r="R11" s="2"/>
      <c r="S11" s="2"/>
    </row>
    <row r="12" spans="2:19" x14ac:dyDescent="0.25">
      <c r="B12" s="57" t="s">
        <v>146</v>
      </c>
      <c r="C12" s="181">
        <v>43</v>
      </c>
      <c r="D12" s="19" t="s">
        <v>93</v>
      </c>
      <c r="E12" s="19" t="s">
        <v>95</v>
      </c>
      <c r="F12" s="34" t="s">
        <v>94</v>
      </c>
      <c r="H12" s="26" t="s">
        <v>63</v>
      </c>
      <c r="I12" s="2" t="s">
        <v>96</v>
      </c>
      <c r="J12" s="2" t="s">
        <v>97</v>
      </c>
      <c r="K12" s="2" t="s">
        <v>110</v>
      </c>
      <c r="L12" s="2" t="s">
        <v>99</v>
      </c>
      <c r="M12" s="2" t="s">
        <v>111</v>
      </c>
      <c r="N12" s="2" t="s">
        <v>100</v>
      </c>
      <c r="O12" s="2" t="s">
        <v>98</v>
      </c>
      <c r="Q12" s="24"/>
      <c r="R12" s="19"/>
      <c r="S12" s="19"/>
    </row>
    <row r="13" spans="2:19" x14ac:dyDescent="0.25">
      <c r="B13" s="201" t="s">
        <v>144</v>
      </c>
      <c r="C13" s="59" t="s">
        <v>147</v>
      </c>
      <c r="D13" s="206">
        <v>13440</v>
      </c>
      <c r="E13" s="206">
        <v>-30.97</v>
      </c>
      <c r="F13" s="179">
        <v>0</v>
      </c>
      <c r="H13" s="75" t="str">
        <f>'Cross Sections and Materials'!B5</f>
        <v>IPE 360</v>
      </c>
      <c r="I13" s="5">
        <f>'Cross Sections and Materials'!E5</f>
        <v>23950</v>
      </c>
      <c r="J13" s="5">
        <f>'Cross Sections and Materials'!F5</f>
        <v>1709</v>
      </c>
      <c r="K13" s="5">
        <f>'Cross Sections and Materials'!H5</f>
        <v>17</v>
      </c>
      <c r="L13" s="5">
        <f>'Cross Sections and Materials'!I5</f>
        <v>0.8</v>
      </c>
      <c r="M13" s="5">
        <f>'Cross Sections and Materials'!J5</f>
        <v>1.27</v>
      </c>
      <c r="N13" s="5">
        <f>'Cross Sections and Materials'!K5</f>
        <v>72.7</v>
      </c>
      <c r="O13" s="5">
        <f>'Cross Sections and Materials'!M5</f>
        <v>33.46</v>
      </c>
      <c r="Q13" s="24"/>
    </row>
    <row r="14" spans="2:19" x14ac:dyDescent="0.25">
      <c r="B14" s="201"/>
      <c r="C14" s="59" t="s">
        <v>138</v>
      </c>
      <c r="D14" s="106">
        <v>0</v>
      </c>
      <c r="E14" s="206">
        <v>-67.3</v>
      </c>
      <c r="F14" s="179">
        <v>0</v>
      </c>
      <c r="H14" s="52"/>
      <c r="I14" s="4"/>
      <c r="J14" s="4"/>
      <c r="K14" s="4"/>
      <c r="L14" s="12"/>
      <c r="M14" s="4"/>
      <c r="N14" s="4"/>
      <c r="O14" s="5"/>
      <c r="P14" s="5"/>
      <c r="Q14" s="42"/>
    </row>
    <row r="15" spans="2:19" ht="18" x14ac:dyDescent="0.35">
      <c r="B15" s="201"/>
      <c r="C15" s="59" t="s">
        <v>139</v>
      </c>
      <c r="D15" s="4"/>
      <c r="E15" s="4"/>
      <c r="F15" s="49"/>
      <c r="H15" s="23"/>
      <c r="I15" s="2" t="s">
        <v>93</v>
      </c>
      <c r="J15" s="2" t="s">
        <v>95</v>
      </c>
      <c r="K15" s="2" t="s">
        <v>107</v>
      </c>
      <c r="L15" s="2" t="s">
        <v>108</v>
      </c>
      <c r="M15" s="2" t="s">
        <v>109</v>
      </c>
      <c r="N15" s="2" t="s">
        <v>116</v>
      </c>
      <c r="O15" s="14" t="s">
        <v>112</v>
      </c>
      <c r="P15" s="14" t="s">
        <v>113</v>
      </c>
      <c r="Q15" s="24"/>
    </row>
    <row r="16" spans="2:19" x14ac:dyDescent="0.25">
      <c r="B16" s="202"/>
      <c r="C16" s="60" t="s">
        <v>148</v>
      </c>
      <c r="D16" s="46">
        <f>SUM(D13:D15)</f>
        <v>13440</v>
      </c>
      <c r="E16" s="47">
        <f t="shared" ref="E16:F16" si="0">SUM(E13:E15)</f>
        <v>-98.27</v>
      </c>
      <c r="F16" s="50">
        <f t="shared" si="0"/>
        <v>0</v>
      </c>
      <c r="H16" s="26" t="s">
        <v>144</v>
      </c>
      <c r="I16" s="5">
        <f>D16</f>
        <v>13440</v>
      </c>
      <c r="J16" s="8">
        <f>E16</f>
        <v>-98.27</v>
      </c>
      <c r="K16" s="18" t="str">
        <f>IF(MIN(0.25*J13, 0.5*O13*L13*$C$3/$C$4) &lt; ABS(J16), "JA", "NEIN")</f>
        <v>NEIN</v>
      </c>
      <c r="L16" s="9">
        <f>IF(K16="JA", ABS(J16)/$J$13, 0)</f>
        <v>0</v>
      </c>
      <c r="M16" s="9">
        <f>IF(K16="JA", MIN(($N$13-2*$K$13*$M$13)/$N$13, 0.5), 0)</f>
        <v>0</v>
      </c>
      <c r="N16" s="13">
        <f>MIN($I$13, $I$13*(1-L16)/(1-0.5*M16))</f>
        <v>23950</v>
      </c>
      <c r="O16" s="9">
        <f>ABS(J16)/$J$13</f>
        <v>5.7501462843768281E-2</v>
      </c>
      <c r="P16" s="9">
        <f>I16/N16</f>
        <v>0.56116910229645089</v>
      </c>
      <c r="Q16" s="43" t="str">
        <f>IF(P16&lt;1,"OK!","NG!")</f>
        <v>OK!</v>
      </c>
    </row>
    <row r="17" spans="2:18" ht="15.75" thickBot="1" x14ac:dyDescent="0.3">
      <c r="B17" s="44"/>
      <c r="F17" s="24"/>
      <c r="H17" s="53" t="s">
        <v>145</v>
      </c>
      <c r="I17" s="38">
        <f>D22</f>
        <v>12190</v>
      </c>
      <c r="J17" s="45">
        <f>E22</f>
        <v>-140.09</v>
      </c>
      <c r="K17" s="54" t="str">
        <f>IF(MIN(0.25*J13, 0.5*O13*L13*$C$3/$C$4) &lt; ABS(J17), "JA", "NEIN")</f>
        <v>NEIN</v>
      </c>
      <c r="L17" s="28">
        <f>IF(K17="JA", ABS(J17)/$J$13, 0)</f>
        <v>0</v>
      </c>
      <c r="M17" s="28">
        <f>IF(K17="JA", MIN(($N$13-2*$K$13*$M$13)/$N$13, 0.5), 0)</f>
        <v>0</v>
      </c>
      <c r="N17" s="55">
        <f>MIN($I$13, $I$13*(1-L17)/(1-0.5*M17))</f>
        <v>23950</v>
      </c>
      <c r="O17" s="28">
        <f>ABS(J17)/$J$13</f>
        <v>8.1971913399648919E-2</v>
      </c>
      <c r="P17" s="28">
        <f>I17/N17</f>
        <v>0.50897703549060547</v>
      </c>
      <c r="Q17" s="56" t="str">
        <f>IF(P17&lt;1,"OK!","NG!")</f>
        <v>OK!</v>
      </c>
    </row>
    <row r="18" spans="2:18" x14ac:dyDescent="0.25">
      <c r="B18" s="57" t="s">
        <v>146</v>
      </c>
      <c r="C18" s="181">
        <v>43</v>
      </c>
      <c r="D18" s="48" t="s">
        <v>93</v>
      </c>
      <c r="E18" s="48" t="s">
        <v>95</v>
      </c>
      <c r="F18" s="51" t="s">
        <v>94</v>
      </c>
    </row>
    <row r="19" spans="2:18" x14ac:dyDescent="0.25">
      <c r="B19" s="201" t="s">
        <v>145</v>
      </c>
      <c r="C19" s="59" t="s">
        <v>147</v>
      </c>
      <c r="D19" s="206">
        <v>12190</v>
      </c>
      <c r="E19" s="206">
        <v>-28.49</v>
      </c>
      <c r="F19" s="179">
        <v>0</v>
      </c>
    </row>
    <row r="20" spans="2:18" x14ac:dyDescent="0.25">
      <c r="B20" s="201"/>
      <c r="C20" s="59" t="s">
        <v>138</v>
      </c>
      <c r="D20" s="106">
        <v>0</v>
      </c>
      <c r="E20" s="206">
        <v>-111.6</v>
      </c>
      <c r="F20" s="179">
        <v>0</v>
      </c>
    </row>
    <row r="21" spans="2:18" x14ac:dyDescent="0.25">
      <c r="B21" s="201"/>
      <c r="C21" s="59" t="s">
        <v>139</v>
      </c>
      <c r="D21" s="4"/>
      <c r="E21" s="4"/>
      <c r="F21" s="49"/>
    </row>
    <row r="22" spans="2:18" ht="15.75" thickBot="1" x14ac:dyDescent="0.3">
      <c r="B22" s="203"/>
      <c r="C22" s="61" t="s">
        <v>148</v>
      </c>
      <c r="D22" s="38">
        <f>SUM(D19:D21)</f>
        <v>12190</v>
      </c>
      <c r="E22" s="45">
        <f t="shared" ref="E22" si="1">SUM(E19:E21)</f>
        <v>-140.09</v>
      </c>
      <c r="F22" s="39">
        <f t="shared" ref="F22" si="2">SUM(F19:F21)</f>
        <v>0</v>
      </c>
    </row>
    <row r="24" spans="2:18" x14ac:dyDescent="0.25">
      <c r="B24" s="10" t="s">
        <v>220</v>
      </c>
      <c r="N24" s="9"/>
      <c r="O24" s="9"/>
      <c r="P24" s="19"/>
    </row>
    <row r="25" spans="2:18" ht="15.75" thickBot="1" x14ac:dyDescent="0.3"/>
    <row r="26" spans="2:18" x14ac:dyDescent="0.25">
      <c r="B26" s="31" t="s">
        <v>217</v>
      </c>
      <c r="C26" s="40"/>
      <c r="D26" s="40"/>
      <c r="E26" s="40"/>
      <c r="F26" s="41"/>
      <c r="H26" s="65" t="s">
        <v>218</v>
      </c>
      <c r="I26" s="66"/>
      <c r="J26" s="66"/>
      <c r="K26" s="66"/>
      <c r="L26" s="66"/>
      <c r="M26" s="66"/>
      <c r="N26" s="66"/>
      <c r="O26" s="66"/>
      <c r="P26" s="66"/>
      <c r="Q26" s="66"/>
      <c r="R26" s="67"/>
    </row>
    <row r="27" spans="2:18" x14ac:dyDescent="0.25">
      <c r="B27" s="57" t="s">
        <v>146</v>
      </c>
      <c r="C27" s="181">
        <v>2</v>
      </c>
      <c r="D27" s="19" t="s">
        <v>93</v>
      </c>
      <c r="E27" s="19" t="s">
        <v>95</v>
      </c>
      <c r="F27" s="34" t="s">
        <v>94</v>
      </c>
      <c r="H27" s="68" t="s">
        <v>63</v>
      </c>
      <c r="I27" s="69" t="s">
        <v>64</v>
      </c>
      <c r="J27" s="69" t="s">
        <v>70</v>
      </c>
      <c r="K27" s="70" t="s">
        <v>74</v>
      </c>
      <c r="L27" s="69" t="s">
        <v>69</v>
      </c>
      <c r="M27" s="48" t="s">
        <v>231</v>
      </c>
      <c r="N27" s="69" t="s">
        <v>71</v>
      </c>
      <c r="O27" s="69" t="s">
        <v>73</v>
      </c>
      <c r="P27" s="69" t="s">
        <v>75</v>
      </c>
      <c r="Q27" s="69" t="s">
        <v>25</v>
      </c>
      <c r="R27" s="71" t="s">
        <v>76</v>
      </c>
    </row>
    <row r="28" spans="2:18" x14ac:dyDescent="0.25">
      <c r="B28" s="201" t="s">
        <v>144</v>
      </c>
      <c r="C28" s="59" t="s">
        <v>147</v>
      </c>
      <c r="D28" s="206">
        <v>158</v>
      </c>
      <c r="E28" s="206">
        <v>1642</v>
      </c>
      <c r="F28" s="179">
        <v>0</v>
      </c>
      <c r="H28" s="76" t="str">
        <f>'Cross Sections and Materials'!B9</f>
        <v>HEB 650</v>
      </c>
      <c r="I28" s="18">
        <f>'Cross Sections and Materials'!G9</f>
        <v>286.3</v>
      </c>
      <c r="J28" s="18">
        <f>'Cross Sections and Materials'!J9</f>
        <v>6.87</v>
      </c>
      <c r="K28" s="18">
        <f>'Cross Sections and Materials'!L9</f>
        <v>0.34</v>
      </c>
      <c r="L28" s="4">
        <v>350</v>
      </c>
      <c r="M28" s="4">
        <v>1</v>
      </c>
      <c r="N28" s="5">
        <f>M28*L28</f>
        <v>350</v>
      </c>
      <c r="O28" s="9">
        <f>N28/J28/$C$6</f>
        <v>0.54255742970393406</v>
      </c>
      <c r="P28" s="6">
        <f>0.5*(1+K28*(O28-0.2)+O28^2)</f>
        <v>0.70541904531313848</v>
      </c>
      <c r="Q28" s="9">
        <f>MIN(1/(P28+SQRT(P28^2-O28^2)), 1)</f>
        <v>0.86486576473449372</v>
      </c>
      <c r="R28" s="62">
        <f>Q28*I28*$C$3/$C$5</f>
        <v>5289.8728258381007</v>
      </c>
    </row>
    <row r="29" spans="2:18" x14ac:dyDescent="0.25">
      <c r="B29" s="201"/>
      <c r="C29" s="59" t="s">
        <v>138</v>
      </c>
      <c r="D29" s="206">
        <v>-1115</v>
      </c>
      <c r="E29" s="206">
        <v>125.7</v>
      </c>
      <c r="F29" s="179">
        <v>0</v>
      </c>
      <c r="H29" s="23"/>
      <c r="R29" s="24"/>
    </row>
    <row r="30" spans="2:18" x14ac:dyDescent="0.25">
      <c r="B30" s="201"/>
      <c r="C30" s="59" t="s">
        <v>139</v>
      </c>
      <c r="D30" s="4"/>
      <c r="E30" s="4"/>
      <c r="F30" s="49"/>
      <c r="H30" s="23"/>
      <c r="I30" s="2" t="s">
        <v>95</v>
      </c>
      <c r="J30" s="14" t="s">
        <v>67</v>
      </c>
      <c r="R30" s="24"/>
    </row>
    <row r="31" spans="2:18" x14ac:dyDescent="0.25">
      <c r="B31" s="202"/>
      <c r="C31" s="60" t="s">
        <v>148</v>
      </c>
      <c r="D31" s="46">
        <f>SUM(D28:D30)</f>
        <v>-957</v>
      </c>
      <c r="E31" s="47">
        <f t="shared" ref="E31" si="3">SUM(E28:E30)</f>
        <v>1767.7</v>
      </c>
      <c r="F31" s="50">
        <f t="shared" ref="F31" si="4">SUM(F28:F30)</f>
        <v>0</v>
      </c>
      <c r="G31" s="19"/>
      <c r="H31" s="26" t="s">
        <v>144</v>
      </c>
      <c r="I31" s="74">
        <f>E31</f>
        <v>1767.7</v>
      </c>
      <c r="J31" s="9">
        <f>I31/$R$28</f>
        <v>0.33416682370240813</v>
      </c>
      <c r="K31" s="2" t="str">
        <f>IF(J31&lt;1,"OK!","NG!")</f>
        <v>OK!</v>
      </c>
      <c r="R31" s="24"/>
    </row>
    <row r="32" spans="2:18" ht="15.75" thickBot="1" x14ac:dyDescent="0.3">
      <c r="B32" s="44"/>
      <c r="F32" s="24"/>
      <c r="G32" s="6"/>
      <c r="H32" s="53" t="s">
        <v>145</v>
      </c>
      <c r="I32" s="63">
        <f>E37</f>
        <v>1717.5</v>
      </c>
      <c r="J32" s="28">
        <f>I32/$R$28</f>
        <v>0.32467699253769639</v>
      </c>
      <c r="K32" s="64" t="str">
        <f>IF(J32&lt;1,"OK!","NG!")</f>
        <v>OK!</v>
      </c>
      <c r="L32" s="29"/>
      <c r="M32" s="29"/>
      <c r="N32" s="29"/>
      <c r="O32" s="29"/>
      <c r="P32" s="29"/>
      <c r="Q32" s="29"/>
      <c r="R32" s="30"/>
    </row>
    <row r="33" spans="2:26" x14ac:dyDescent="0.25">
      <c r="B33" s="57" t="s">
        <v>146</v>
      </c>
      <c r="C33" s="181">
        <v>2</v>
      </c>
      <c r="D33" s="48" t="s">
        <v>93</v>
      </c>
      <c r="E33" s="48" t="s">
        <v>95</v>
      </c>
      <c r="F33" s="51" t="s">
        <v>94</v>
      </c>
      <c r="G33" s="6"/>
      <c r="H33" s="21"/>
      <c r="I33" s="8"/>
    </row>
    <row r="34" spans="2:26" x14ac:dyDescent="0.25">
      <c r="B34" s="201" t="s">
        <v>145</v>
      </c>
      <c r="C34" s="59" t="s">
        <v>147</v>
      </c>
      <c r="D34" s="206">
        <v>145.30000000000001</v>
      </c>
      <c r="E34" s="206">
        <v>1509</v>
      </c>
      <c r="F34" s="179">
        <v>0</v>
      </c>
      <c r="H34" t="s">
        <v>221</v>
      </c>
    </row>
    <row r="35" spans="2:26" x14ac:dyDescent="0.25">
      <c r="B35" s="201"/>
      <c r="C35" s="59" t="s">
        <v>138</v>
      </c>
      <c r="D35" s="206">
        <v>-1849</v>
      </c>
      <c r="E35" s="206">
        <v>208.5</v>
      </c>
      <c r="F35" s="179">
        <v>0</v>
      </c>
      <c r="H35" t="s">
        <v>222</v>
      </c>
    </row>
    <row r="36" spans="2:26" x14ac:dyDescent="0.25">
      <c r="B36" s="201"/>
      <c r="C36" s="59" t="s">
        <v>139</v>
      </c>
      <c r="D36" s="4"/>
      <c r="E36" s="4"/>
      <c r="F36" s="49"/>
      <c r="G36" s="2"/>
      <c r="H36" s="3"/>
      <c r="I36" s="2"/>
      <c r="J36" s="2"/>
      <c r="K36" s="2"/>
      <c r="L36" s="2"/>
      <c r="M36" s="2"/>
      <c r="N36" s="2"/>
      <c r="O36" s="14"/>
    </row>
    <row r="37" spans="2:26" ht="15.75" thickBot="1" x14ac:dyDescent="0.3">
      <c r="B37" s="203"/>
      <c r="C37" s="61" t="s">
        <v>148</v>
      </c>
      <c r="D37" s="38">
        <f>SUM(D34:D36)</f>
        <v>-1703.7</v>
      </c>
      <c r="E37" s="45">
        <f t="shared" ref="E37" si="5">SUM(E34:E36)</f>
        <v>1717.5</v>
      </c>
      <c r="F37" s="39">
        <f t="shared" ref="F37" si="6">SUM(F34:F36)</f>
        <v>0</v>
      </c>
      <c r="G37" s="5"/>
      <c r="H37" s="5"/>
      <c r="I37" s="8"/>
      <c r="J37" s="5"/>
      <c r="K37" s="9"/>
      <c r="L37" s="6"/>
      <c r="M37" s="9"/>
      <c r="N37" s="6"/>
      <c r="O37" s="9"/>
      <c r="P37" s="2"/>
    </row>
    <row r="38" spans="2:26" x14ac:dyDescent="0.25">
      <c r="D38" s="4"/>
      <c r="E38" s="5"/>
      <c r="F38" s="20"/>
      <c r="G38" s="5"/>
      <c r="H38" s="5"/>
      <c r="I38" s="8"/>
      <c r="J38" s="5"/>
      <c r="K38" s="9"/>
      <c r="L38" s="6"/>
      <c r="M38" s="9"/>
      <c r="N38" s="6"/>
      <c r="O38" s="9"/>
      <c r="P38" s="2"/>
    </row>
    <row r="39" spans="2:26" x14ac:dyDescent="0.25">
      <c r="B39" s="10" t="s">
        <v>230</v>
      </c>
      <c r="D39" s="4"/>
      <c r="G39" s="5"/>
      <c r="H39" s="5"/>
      <c r="I39" s="8"/>
      <c r="J39" s="5"/>
      <c r="K39" s="9"/>
      <c r="L39" s="6"/>
      <c r="M39" s="9"/>
      <c r="N39" s="6"/>
      <c r="O39" s="9"/>
      <c r="P39" s="2"/>
    </row>
    <row r="40" spans="2:26" ht="15.75" thickBot="1" x14ac:dyDescent="0.3">
      <c r="B40" s="10"/>
      <c r="D40" s="4"/>
      <c r="E40" s="2"/>
      <c r="F40" s="2"/>
      <c r="G40" s="2"/>
      <c r="H40" s="14"/>
      <c r="J40" s="5"/>
      <c r="K40" s="9"/>
      <c r="L40" s="6"/>
      <c r="M40" s="9"/>
      <c r="N40" s="6"/>
      <c r="O40" s="9"/>
      <c r="P40" s="2"/>
    </row>
    <row r="41" spans="2:26" x14ac:dyDescent="0.25">
      <c r="B41" s="31" t="s">
        <v>217</v>
      </c>
      <c r="C41" s="40"/>
      <c r="D41" s="72" t="s">
        <v>226</v>
      </c>
      <c r="E41" s="72"/>
      <c r="F41" s="73"/>
      <c r="H41" s="31" t="s">
        <v>217</v>
      </c>
      <c r="I41" s="40"/>
      <c r="J41" s="199" t="s">
        <v>227</v>
      </c>
      <c r="K41" s="199"/>
      <c r="L41" s="200"/>
      <c r="N41" s="65" t="s">
        <v>218</v>
      </c>
      <c r="O41" s="40"/>
      <c r="P41" s="40"/>
      <c r="Q41" s="66"/>
      <c r="R41" s="66"/>
      <c r="S41" s="66"/>
      <c r="T41" s="66"/>
      <c r="U41" s="66"/>
      <c r="V41" s="66"/>
      <c r="W41" s="66"/>
      <c r="X41" s="66"/>
      <c r="Y41" s="66"/>
      <c r="Z41" s="67"/>
    </row>
    <row r="42" spans="2:26" x14ac:dyDescent="0.25">
      <c r="B42" s="57" t="s">
        <v>146</v>
      </c>
      <c r="C42" s="181">
        <v>70</v>
      </c>
      <c r="D42" s="19" t="s">
        <v>93</v>
      </c>
      <c r="E42" s="19" t="s">
        <v>95</v>
      </c>
      <c r="F42" s="34" t="s">
        <v>94</v>
      </c>
      <c r="H42" s="57" t="s">
        <v>146</v>
      </c>
      <c r="I42" s="58">
        <v>79</v>
      </c>
      <c r="J42" s="19" t="s">
        <v>93</v>
      </c>
      <c r="K42" s="19" t="s">
        <v>95</v>
      </c>
      <c r="L42" s="34" t="s">
        <v>94</v>
      </c>
      <c r="N42" s="68" t="s">
        <v>63</v>
      </c>
      <c r="O42" s="2" t="s">
        <v>48</v>
      </c>
      <c r="P42" s="2" t="s">
        <v>228</v>
      </c>
      <c r="Q42" s="69" t="s">
        <v>64</v>
      </c>
      <c r="R42" s="69" t="s">
        <v>70</v>
      </c>
      <c r="S42" s="70" t="s">
        <v>74</v>
      </c>
      <c r="T42" s="69" t="s">
        <v>69</v>
      </c>
      <c r="U42" s="69" t="s">
        <v>71</v>
      </c>
      <c r="V42" s="69" t="s">
        <v>73</v>
      </c>
      <c r="W42" s="69" t="s">
        <v>75</v>
      </c>
      <c r="X42" s="69" t="s">
        <v>25</v>
      </c>
      <c r="Y42" s="69" t="s">
        <v>66</v>
      </c>
      <c r="Z42" s="71" t="s">
        <v>76</v>
      </c>
    </row>
    <row r="43" spans="2:26" x14ac:dyDescent="0.25">
      <c r="B43" s="201" t="s">
        <v>144</v>
      </c>
      <c r="C43" s="59" t="s">
        <v>147</v>
      </c>
      <c r="D43" s="106">
        <v>0</v>
      </c>
      <c r="E43" s="206">
        <v>39.89</v>
      </c>
      <c r="F43" s="179">
        <v>0</v>
      </c>
      <c r="H43" s="201" t="s">
        <v>144</v>
      </c>
      <c r="I43" s="59" t="s">
        <v>147</v>
      </c>
      <c r="J43" s="106">
        <v>0</v>
      </c>
      <c r="K43" s="206">
        <v>39.89</v>
      </c>
      <c r="L43" s="179">
        <v>0</v>
      </c>
      <c r="N43" s="76" t="str">
        <f>'Cross Sections and Materials'!C13</f>
        <v>CHS 193.7x6</v>
      </c>
      <c r="O43" s="106">
        <v>350</v>
      </c>
      <c r="P43" s="106">
        <v>700</v>
      </c>
      <c r="Q43" s="20">
        <f>'Cross Sections and Materials'!F13</f>
        <v>35.380000000000003</v>
      </c>
      <c r="R43" s="20">
        <f>'Cross Sections and Materials'!G13</f>
        <v>6.64</v>
      </c>
      <c r="S43" s="20">
        <f>'Cross Sections and Materials'!I13</f>
        <v>0.49</v>
      </c>
      <c r="T43" s="8">
        <f>SQRT(O43^2+P43^2)</f>
        <v>782.62379212492635</v>
      </c>
      <c r="U43" s="5">
        <f>0.8*T43</f>
        <v>626.09903369994117</v>
      </c>
      <c r="V43" s="9">
        <f>U43/R43/$C$6</f>
        <v>1.0041749004002289</v>
      </c>
      <c r="W43" s="6">
        <f>0.5*(1+S43*(V43-0.2)+V43^2)</f>
        <v>1.2012064658949608</v>
      </c>
      <c r="X43" s="9">
        <f>MIN(1/(W43+SQRT(W43^2-V43^2)), 1)</f>
        <v>0.53752020966438308</v>
      </c>
      <c r="Y43" s="5">
        <f>Q43*$C$3/$C$4</f>
        <v>831.43000000000006</v>
      </c>
      <c r="Z43" s="62">
        <f>X43*Q43*$C$3/$C$5</f>
        <v>406.28220720114365</v>
      </c>
    </row>
    <row r="44" spans="2:26" x14ac:dyDescent="0.25">
      <c r="B44" s="201"/>
      <c r="C44" s="59" t="s">
        <v>138</v>
      </c>
      <c r="D44" s="106">
        <v>0</v>
      </c>
      <c r="E44" s="206">
        <v>-87.26</v>
      </c>
      <c r="F44" s="179">
        <v>0</v>
      </c>
      <c r="H44" s="201"/>
      <c r="I44" s="59" t="s">
        <v>138</v>
      </c>
      <c r="J44" s="106">
        <v>0</v>
      </c>
      <c r="K44" s="206">
        <v>86.42</v>
      </c>
      <c r="L44" s="179">
        <v>0</v>
      </c>
      <c r="N44" s="23"/>
      <c r="Z44" s="24"/>
    </row>
    <row r="45" spans="2:26" x14ac:dyDescent="0.25">
      <c r="B45" s="201"/>
      <c r="C45" s="59" t="s">
        <v>139</v>
      </c>
      <c r="D45" s="4"/>
      <c r="E45" s="4"/>
      <c r="F45" s="49"/>
      <c r="H45" s="201"/>
      <c r="I45" s="59" t="s">
        <v>139</v>
      </c>
      <c r="J45" s="4"/>
      <c r="K45" s="4"/>
      <c r="L45" s="49"/>
      <c r="N45" s="23"/>
      <c r="O45" s="204" t="s">
        <v>224</v>
      </c>
      <c r="P45" s="204"/>
      <c r="Q45" s="204"/>
      <c r="S45" s="204" t="s">
        <v>225</v>
      </c>
      <c r="T45" s="204"/>
      <c r="U45" s="204"/>
      <c r="Z45" s="24"/>
    </row>
    <row r="46" spans="2:26" x14ac:dyDescent="0.25">
      <c r="B46" s="202"/>
      <c r="C46" s="60" t="s">
        <v>148</v>
      </c>
      <c r="D46" s="46">
        <f>SUM(D43:D45)</f>
        <v>0</v>
      </c>
      <c r="E46" s="47">
        <f t="shared" ref="E46:F46" si="7">SUM(E43:E45)</f>
        <v>-47.370000000000005</v>
      </c>
      <c r="F46" s="50">
        <f t="shared" si="7"/>
        <v>0</v>
      </c>
      <c r="H46" s="202"/>
      <c r="I46" s="60" t="s">
        <v>148</v>
      </c>
      <c r="J46" s="46">
        <f>SUM(J43:J45)</f>
        <v>0</v>
      </c>
      <c r="K46" s="47">
        <f t="shared" ref="K46:L46" si="8">SUM(K43:K45)</f>
        <v>126.31</v>
      </c>
      <c r="L46" s="50">
        <f t="shared" si="8"/>
        <v>0</v>
      </c>
      <c r="N46" s="23"/>
      <c r="O46" s="2" t="s">
        <v>95</v>
      </c>
      <c r="P46" s="14" t="s">
        <v>67</v>
      </c>
      <c r="S46" s="2" t="s">
        <v>95</v>
      </c>
      <c r="T46" s="14" t="s">
        <v>67</v>
      </c>
      <c r="Z46" s="24"/>
    </row>
    <row r="47" spans="2:26" x14ac:dyDescent="0.25">
      <c r="B47" s="44"/>
      <c r="F47" s="24"/>
      <c r="H47" s="44"/>
      <c r="L47" s="24"/>
      <c r="N47" s="26" t="s">
        <v>144</v>
      </c>
      <c r="O47" s="80">
        <f>K46</f>
        <v>126.31</v>
      </c>
      <c r="P47" s="9">
        <f>O47/$Z$43</f>
        <v>0.31089227576600714</v>
      </c>
      <c r="Q47" s="2" t="str">
        <f>IF(P47&lt;1,"OK!","NG!")</f>
        <v>OK!</v>
      </c>
      <c r="S47" s="6">
        <f>ABS(MIN(E46,0))</f>
        <v>47.370000000000005</v>
      </c>
      <c r="T47" s="9">
        <f>S47/$Y$43</f>
        <v>5.6974128910431424E-2</v>
      </c>
      <c r="U47" s="2" t="str">
        <f>IF(T47&lt;1,"OK!","NG!")</f>
        <v>OK!</v>
      </c>
      <c r="Z47" s="24"/>
    </row>
    <row r="48" spans="2:26" ht="15.75" thickBot="1" x14ac:dyDescent="0.3">
      <c r="B48" s="57" t="s">
        <v>146</v>
      </c>
      <c r="C48" s="181">
        <v>70</v>
      </c>
      <c r="D48" s="77" t="s">
        <v>93</v>
      </c>
      <c r="E48" s="48" t="s">
        <v>95</v>
      </c>
      <c r="F48" s="51" t="s">
        <v>94</v>
      </c>
      <c r="H48" s="57" t="s">
        <v>146</v>
      </c>
      <c r="I48" s="58">
        <v>79</v>
      </c>
      <c r="J48" s="77" t="s">
        <v>93</v>
      </c>
      <c r="K48" s="48" t="s">
        <v>95</v>
      </c>
      <c r="L48" s="51" t="s">
        <v>94</v>
      </c>
      <c r="N48" s="53" t="s">
        <v>145</v>
      </c>
      <c r="O48" s="81">
        <f>K52</f>
        <v>179.96</v>
      </c>
      <c r="P48" s="28">
        <f>O48/$Z$43</f>
        <v>0.44294334531589458</v>
      </c>
      <c r="Q48" s="64" t="str">
        <f>IF(P48&lt;1,"OK!","NG!")</f>
        <v>OK!</v>
      </c>
      <c r="R48" s="29"/>
      <c r="S48" s="82">
        <f>ABS(MIN(E52,0))</f>
        <v>107.94</v>
      </c>
      <c r="T48" s="28">
        <f>S48/$Y$43</f>
        <v>0.12982451920185703</v>
      </c>
      <c r="U48" s="64" t="str">
        <f>IF(T48&lt;1,"OK!","NG!")</f>
        <v>OK!</v>
      </c>
      <c r="V48" s="29"/>
      <c r="W48" s="29"/>
      <c r="X48" s="29"/>
      <c r="Y48" s="29"/>
      <c r="Z48" s="30"/>
    </row>
    <row r="49" spans="2:26" x14ac:dyDescent="0.25">
      <c r="B49" s="201" t="s">
        <v>145</v>
      </c>
      <c r="C49" s="59" t="s">
        <v>147</v>
      </c>
      <c r="D49" s="106">
        <v>0</v>
      </c>
      <c r="E49" s="206">
        <v>36.659999999999997</v>
      </c>
      <c r="F49" s="179">
        <v>0</v>
      </c>
      <c r="H49" s="201" t="s">
        <v>145</v>
      </c>
      <c r="I49" s="59" t="s">
        <v>147</v>
      </c>
      <c r="J49" s="106">
        <v>0</v>
      </c>
      <c r="K49" s="206">
        <v>36.659999999999997</v>
      </c>
      <c r="L49" s="179">
        <v>0</v>
      </c>
    </row>
    <row r="50" spans="2:26" x14ac:dyDescent="0.25">
      <c r="B50" s="201"/>
      <c r="C50" s="59" t="s">
        <v>138</v>
      </c>
      <c r="D50" s="106">
        <v>0</v>
      </c>
      <c r="E50" s="206">
        <v>-144.6</v>
      </c>
      <c r="F50" s="179">
        <v>0</v>
      </c>
      <c r="H50" s="201"/>
      <c r="I50" s="59" t="s">
        <v>138</v>
      </c>
      <c r="J50" s="106">
        <v>0</v>
      </c>
      <c r="K50" s="206">
        <v>143.30000000000001</v>
      </c>
      <c r="L50" s="179">
        <v>0</v>
      </c>
      <c r="N50" t="s">
        <v>229</v>
      </c>
    </row>
    <row r="51" spans="2:26" x14ac:dyDescent="0.25">
      <c r="B51" s="201"/>
      <c r="C51" s="59" t="s">
        <v>139</v>
      </c>
      <c r="D51" s="4"/>
      <c r="E51" s="4"/>
      <c r="F51" s="49"/>
      <c r="H51" s="201"/>
      <c r="I51" s="59" t="s">
        <v>139</v>
      </c>
      <c r="J51" s="4"/>
      <c r="K51" s="4"/>
      <c r="L51" s="49"/>
    </row>
    <row r="52" spans="2:26" ht="15.75" thickBot="1" x14ac:dyDescent="0.3">
      <c r="B52" s="203"/>
      <c r="C52" s="61" t="s">
        <v>148</v>
      </c>
      <c r="D52" s="38">
        <f>SUM(D49:D51)</f>
        <v>0</v>
      </c>
      <c r="E52" s="45">
        <f t="shared" ref="E52:F52" si="9">SUM(E49:E51)</f>
        <v>-107.94</v>
      </c>
      <c r="F52" s="39">
        <f t="shared" si="9"/>
        <v>0</v>
      </c>
      <c r="H52" s="203"/>
      <c r="I52" s="61" t="s">
        <v>148</v>
      </c>
      <c r="J52" s="38">
        <f>SUM(J49:J51)</f>
        <v>0</v>
      </c>
      <c r="K52" s="45">
        <f t="shared" ref="K52:L52" si="10">SUM(K49:K51)</f>
        <v>179.96</v>
      </c>
      <c r="L52" s="39">
        <f t="shared" si="10"/>
        <v>0</v>
      </c>
    </row>
    <row r="54" spans="2:26" x14ac:dyDescent="0.25">
      <c r="B54" s="10" t="s">
        <v>232</v>
      </c>
      <c r="D54" s="4"/>
      <c r="G54" s="5"/>
      <c r="H54" s="5"/>
      <c r="I54" s="8"/>
      <c r="J54" s="5"/>
      <c r="K54" s="9"/>
      <c r="L54" s="6"/>
      <c r="M54" s="9"/>
    </row>
    <row r="55" spans="2:26" ht="15.75" thickBot="1" x14ac:dyDescent="0.3">
      <c r="B55" s="10"/>
      <c r="D55" s="4"/>
      <c r="E55" s="2"/>
      <c r="F55" s="2"/>
      <c r="G55" s="2"/>
      <c r="H55" s="14"/>
      <c r="J55" s="5"/>
      <c r="K55" s="9"/>
      <c r="L55" s="6"/>
      <c r="M55" s="9"/>
    </row>
    <row r="56" spans="2:26" x14ac:dyDescent="0.25">
      <c r="B56" s="31" t="s">
        <v>217</v>
      </c>
      <c r="C56" s="40"/>
      <c r="D56" s="72" t="s">
        <v>226</v>
      </c>
      <c r="E56" s="72"/>
      <c r="F56" s="73"/>
      <c r="H56" s="31" t="s">
        <v>217</v>
      </c>
      <c r="I56" s="40"/>
      <c r="J56" s="152" t="s">
        <v>227</v>
      </c>
      <c r="K56" s="152"/>
      <c r="L56" s="153"/>
      <c r="N56" s="65" t="s">
        <v>218</v>
      </c>
      <c r="O56" s="40"/>
      <c r="P56" s="40"/>
      <c r="Q56" s="66"/>
      <c r="R56" s="66"/>
      <c r="S56" s="66"/>
      <c r="T56" s="66"/>
      <c r="U56" s="66"/>
      <c r="V56" s="66"/>
      <c r="W56" s="66"/>
      <c r="X56" s="66"/>
      <c r="Y56" s="66"/>
      <c r="Z56" s="67"/>
    </row>
    <row r="57" spans="2:26" x14ac:dyDescent="0.25">
      <c r="B57" s="57" t="s">
        <v>146</v>
      </c>
      <c r="C57" s="181">
        <v>71</v>
      </c>
      <c r="D57" s="19" t="s">
        <v>93</v>
      </c>
      <c r="E57" s="19" t="s">
        <v>95</v>
      </c>
      <c r="F57" s="34" t="s">
        <v>94</v>
      </c>
      <c r="H57" s="57" t="s">
        <v>146</v>
      </c>
      <c r="I57" s="181">
        <v>80</v>
      </c>
      <c r="J57" s="19" t="s">
        <v>93</v>
      </c>
      <c r="K57" s="19" t="s">
        <v>95</v>
      </c>
      <c r="L57" s="34" t="s">
        <v>94</v>
      </c>
      <c r="N57" s="68" t="s">
        <v>63</v>
      </c>
      <c r="O57" s="2" t="s">
        <v>48</v>
      </c>
      <c r="P57" s="2" t="s">
        <v>228</v>
      </c>
      <c r="Q57" s="69" t="s">
        <v>64</v>
      </c>
      <c r="R57" s="69" t="s">
        <v>70</v>
      </c>
      <c r="S57" s="70" t="s">
        <v>74</v>
      </c>
      <c r="T57" s="69" t="s">
        <v>69</v>
      </c>
      <c r="U57" s="69" t="s">
        <v>71</v>
      </c>
      <c r="V57" s="69" t="s">
        <v>73</v>
      </c>
      <c r="W57" s="69" t="s">
        <v>75</v>
      </c>
      <c r="X57" s="69" t="s">
        <v>25</v>
      </c>
      <c r="Y57" s="69" t="s">
        <v>66</v>
      </c>
      <c r="Z57" s="71" t="s">
        <v>76</v>
      </c>
    </row>
    <row r="58" spans="2:26" x14ac:dyDescent="0.25">
      <c r="B58" s="201" t="s">
        <v>144</v>
      </c>
      <c r="C58" s="59" t="s">
        <v>147</v>
      </c>
      <c r="D58" s="106">
        <v>0</v>
      </c>
      <c r="E58" s="206">
        <v>39.03</v>
      </c>
      <c r="F58" s="179">
        <v>0</v>
      </c>
      <c r="H58" s="201" t="s">
        <v>144</v>
      </c>
      <c r="I58" s="59" t="s">
        <v>147</v>
      </c>
      <c r="J58" s="106">
        <v>0</v>
      </c>
      <c r="K58" s="206">
        <v>39.03</v>
      </c>
      <c r="L58" s="179">
        <v>0</v>
      </c>
      <c r="N58" s="78" t="str">
        <f>'Cross Sections and Materials'!C14</f>
        <v>CHS 193.7x6</v>
      </c>
      <c r="O58" s="106">
        <v>350</v>
      </c>
      <c r="P58" s="106">
        <v>700</v>
      </c>
      <c r="Q58" s="79">
        <f>'Cross Sections and Materials'!F14</f>
        <v>35.380000000000003</v>
      </c>
      <c r="R58" s="79">
        <f>'Cross Sections and Materials'!G14</f>
        <v>6.64</v>
      </c>
      <c r="S58" s="79">
        <f>'Cross Sections and Materials'!I14</f>
        <v>0.49</v>
      </c>
      <c r="T58" s="8">
        <f>SQRT(O58^2+P58^2)</f>
        <v>782.62379212492635</v>
      </c>
      <c r="U58" s="5">
        <f>0.8*T58</f>
        <v>626.09903369994117</v>
      </c>
      <c r="V58" s="9">
        <f>U58/R58/$C$6</f>
        <v>1.0041749004002289</v>
      </c>
      <c r="W58" s="6">
        <f>0.5*(1+S58*(V58-0.2)+V58^2)</f>
        <v>1.2012064658949608</v>
      </c>
      <c r="X58" s="9">
        <f>MIN(1/(W58+SQRT(W58^2-V58^2)), 1)</f>
        <v>0.53752020966438308</v>
      </c>
      <c r="Y58" s="5">
        <f>Q58*$C$3/$C$4</f>
        <v>831.43000000000006</v>
      </c>
      <c r="Z58" s="62">
        <f>X58*Q58*$C$3/$C$5</f>
        <v>406.28220720114365</v>
      </c>
    </row>
    <row r="59" spans="2:26" x14ac:dyDescent="0.25">
      <c r="B59" s="201"/>
      <c r="C59" s="59" t="s">
        <v>138</v>
      </c>
      <c r="D59" s="106">
        <v>0</v>
      </c>
      <c r="E59" s="206">
        <v>-67.430000000000007</v>
      </c>
      <c r="F59" s="179">
        <v>0</v>
      </c>
      <c r="H59" s="201"/>
      <c r="I59" s="59" t="s">
        <v>138</v>
      </c>
      <c r="J59" s="106">
        <v>0</v>
      </c>
      <c r="K59" s="206">
        <v>68.59</v>
      </c>
      <c r="L59" s="179">
        <v>0</v>
      </c>
      <c r="N59" s="23"/>
      <c r="Z59" s="24"/>
    </row>
    <row r="60" spans="2:26" x14ac:dyDescent="0.25">
      <c r="B60" s="201"/>
      <c r="C60" s="59" t="s">
        <v>139</v>
      </c>
      <c r="D60" s="4"/>
      <c r="E60" s="4"/>
      <c r="F60" s="49"/>
      <c r="H60" s="201"/>
      <c r="I60" s="59" t="s">
        <v>139</v>
      </c>
      <c r="J60" s="4"/>
      <c r="K60" s="4"/>
      <c r="L60" s="49"/>
      <c r="N60" s="23"/>
      <c r="O60" s="204" t="s">
        <v>224</v>
      </c>
      <c r="P60" s="204"/>
      <c r="Q60" s="204"/>
      <c r="S60" s="204" t="s">
        <v>225</v>
      </c>
      <c r="T60" s="204"/>
      <c r="U60" s="204"/>
      <c r="Z60" s="24"/>
    </row>
    <row r="61" spans="2:26" x14ac:dyDescent="0.25">
      <c r="B61" s="202"/>
      <c r="C61" s="60" t="s">
        <v>148</v>
      </c>
      <c r="D61" s="46">
        <f>SUM(D58:D60)</f>
        <v>0</v>
      </c>
      <c r="E61" s="47">
        <f t="shared" ref="E61:F61" si="11">SUM(E58:E60)</f>
        <v>-28.400000000000006</v>
      </c>
      <c r="F61" s="50">
        <f t="shared" si="11"/>
        <v>0</v>
      </c>
      <c r="H61" s="202"/>
      <c r="I61" s="60" t="s">
        <v>148</v>
      </c>
      <c r="J61" s="46">
        <f>SUM(J58:J60)</f>
        <v>0</v>
      </c>
      <c r="K61" s="47">
        <f t="shared" ref="K61:L61" si="12">SUM(K58:K60)</f>
        <v>107.62</v>
      </c>
      <c r="L61" s="50">
        <f t="shared" si="12"/>
        <v>0</v>
      </c>
      <c r="N61" s="23"/>
      <c r="O61" s="2" t="s">
        <v>95</v>
      </c>
      <c r="P61" s="14" t="s">
        <v>67</v>
      </c>
      <c r="S61" s="2" t="s">
        <v>95</v>
      </c>
      <c r="T61" s="14" t="s">
        <v>67</v>
      </c>
      <c r="Z61" s="24"/>
    </row>
    <row r="62" spans="2:26" x14ac:dyDescent="0.25">
      <c r="B62" s="44"/>
      <c r="F62" s="24"/>
      <c r="H62" s="44"/>
      <c r="L62" s="24"/>
      <c r="N62" s="26" t="s">
        <v>144</v>
      </c>
      <c r="O62" s="80">
        <f>K61</f>
        <v>107.62</v>
      </c>
      <c r="P62" s="9">
        <f>O62/Z58</f>
        <v>0.26488976896475092</v>
      </c>
      <c r="Q62" s="2" t="str">
        <f>IF(P62&lt;1,"OK!","NG!")</f>
        <v>OK!</v>
      </c>
      <c r="S62" s="6">
        <f>ABS(MIN(E61,0))</f>
        <v>28.400000000000006</v>
      </c>
      <c r="T62" s="9">
        <f>S62/Y58</f>
        <v>3.4158016910623867E-2</v>
      </c>
      <c r="U62" s="2" t="str">
        <f>IF(T62&lt;1,"OK!","NG!")</f>
        <v>OK!</v>
      </c>
      <c r="Z62" s="24"/>
    </row>
    <row r="63" spans="2:26" ht="15.75" thickBot="1" x14ac:dyDescent="0.3">
      <c r="B63" s="57" t="s">
        <v>146</v>
      </c>
      <c r="C63" s="181">
        <v>71</v>
      </c>
      <c r="D63" s="77" t="s">
        <v>93</v>
      </c>
      <c r="E63" s="48" t="s">
        <v>95</v>
      </c>
      <c r="F63" s="51" t="s">
        <v>94</v>
      </c>
      <c r="H63" s="57" t="s">
        <v>146</v>
      </c>
      <c r="I63" s="181">
        <v>80</v>
      </c>
      <c r="J63" s="77" t="s">
        <v>93</v>
      </c>
      <c r="K63" s="48" t="s">
        <v>95</v>
      </c>
      <c r="L63" s="51" t="s">
        <v>94</v>
      </c>
      <c r="N63" s="53" t="s">
        <v>145</v>
      </c>
      <c r="O63" s="81">
        <f>K67</f>
        <v>149.61000000000001</v>
      </c>
      <c r="P63" s="28">
        <f>O63/Z58</f>
        <v>0.3682415753095743</v>
      </c>
      <c r="Q63" s="64" t="str">
        <f>IF(P63&lt;1,"OK!","NG!")</f>
        <v>OK!</v>
      </c>
      <c r="R63" s="29"/>
      <c r="S63" s="82">
        <f>ABS(MIN(E67,0))</f>
        <v>75.89</v>
      </c>
      <c r="T63" s="28">
        <f>S63/Y58</f>
        <v>9.1276475469973417E-2</v>
      </c>
      <c r="U63" s="64" t="str">
        <f>IF(T63&lt;1,"OK!","NG!")</f>
        <v>OK!</v>
      </c>
      <c r="V63" s="29"/>
      <c r="W63" s="29"/>
      <c r="X63" s="29"/>
      <c r="Y63" s="29"/>
      <c r="Z63" s="30"/>
    </row>
    <row r="64" spans="2:26" x14ac:dyDescent="0.25">
      <c r="B64" s="201" t="s">
        <v>145</v>
      </c>
      <c r="C64" s="59" t="s">
        <v>147</v>
      </c>
      <c r="D64" s="106">
        <v>0</v>
      </c>
      <c r="E64" s="206">
        <v>35.909999999999997</v>
      </c>
      <c r="F64" s="179">
        <v>0</v>
      </c>
      <c r="H64" s="201" t="s">
        <v>145</v>
      </c>
      <c r="I64" s="59" t="s">
        <v>147</v>
      </c>
      <c r="J64" s="106">
        <v>0</v>
      </c>
      <c r="K64" s="206">
        <v>35.909999999999997</v>
      </c>
      <c r="L64" s="179">
        <v>0</v>
      </c>
    </row>
    <row r="65" spans="2:26" x14ac:dyDescent="0.25">
      <c r="B65" s="201"/>
      <c r="C65" s="59" t="s">
        <v>138</v>
      </c>
      <c r="D65" s="106">
        <v>0</v>
      </c>
      <c r="E65" s="215">
        <v>-111.8</v>
      </c>
      <c r="F65" s="179">
        <v>0</v>
      </c>
      <c r="H65" s="201"/>
      <c r="I65" s="59" t="s">
        <v>138</v>
      </c>
      <c r="J65" s="106">
        <v>0</v>
      </c>
      <c r="K65" s="206">
        <v>113.7</v>
      </c>
      <c r="L65" s="179">
        <v>0</v>
      </c>
      <c r="N65" t="s">
        <v>229</v>
      </c>
    </row>
    <row r="66" spans="2:26" x14ac:dyDescent="0.25">
      <c r="B66" s="201"/>
      <c r="C66" s="59" t="s">
        <v>139</v>
      </c>
      <c r="D66" s="4"/>
      <c r="E66" s="4"/>
      <c r="F66" s="49"/>
      <c r="H66" s="201"/>
      <c r="I66" s="59" t="s">
        <v>139</v>
      </c>
      <c r="J66" s="4"/>
      <c r="K66" s="4"/>
      <c r="L66" s="49"/>
    </row>
    <row r="67" spans="2:26" ht="15.75" thickBot="1" x14ac:dyDescent="0.3">
      <c r="B67" s="203"/>
      <c r="C67" s="61" t="s">
        <v>148</v>
      </c>
      <c r="D67" s="38">
        <f>SUM(D64:D66)</f>
        <v>0</v>
      </c>
      <c r="E67" s="45">
        <f t="shared" ref="E67:F67" si="13">SUM(E64:E66)</f>
        <v>-75.89</v>
      </c>
      <c r="F67" s="39">
        <f t="shared" si="13"/>
        <v>0</v>
      </c>
      <c r="H67" s="203"/>
      <c r="I67" s="61" t="s">
        <v>148</v>
      </c>
      <c r="J67" s="38">
        <f>SUM(J64:J66)</f>
        <v>0</v>
      </c>
      <c r="K67" s="45">
        <f t="shared" ref="K67:L67" si="14">SUM(K64:K66)</f>
        <v>149.61000000000001</v>
      </c>
      <c r="L67" s="39">
        <f t="shared" si="14"/>
        <v>0</v>
      </c>
    </row>
    <row r="69" spans="2:26" x14ac:dyDescent="0.25">
      <c r="B69" s="10" t="s">
        <v>253</v>
      </c>
      <c r="D69" s="4"/>
      <c r="G69" s="5"/>
      <c r="H69" s="5"/>
      <c r="I69" s="8"/>
      <c r="J69" s="5"/>
      <c r="K69" s="9"/>
      <c r="L69" s="6"/>
      <c r="M69" s="9"/>
    </row>
    <row r="70" spans="2:26" ht="15.75" thickBot="1" x14ac:dyDescent="0.3">
      <c r="B70" s="10"/>
      <c r="D70" s="4"/>
      <c r="E70" s="2"/>
      <c r="F70" s="2"/>
      <c r="G70" s="2"/>
      <c r="H70" s="14"/>
      <c r="J70" s="5"/>
      <c r="K70" s="9"/>
      <c r="L70" s="6"/>
      <c r="M70" s="9"/>
    </row>
    <row r="71" spans="2:26" x14ac:dyDescent="0.25">
      <c r="B71" s="31" t="s">
        <v>217</v>
      </c>
      <c r="C71" s="40"/>
      <c r="D71" s="72" t="s">
        <v>226</v>
      </c>
      <c r="E71" s="72"/>
      <c r="F71" s="73"/>
      <c r="H71" s="31" t="s">
        <v>217</v>
      </c>
      <c r="I71" s="40"/>
      <c r="J71" s="199" t="s">
        <v>227</v>
      </c>
      <c r="K71" s="199"/>
      <c r="L71" s="200"/>
      <c r="N71" s="65" t="s">
        <v>218</v>
      </c>
      <c r="O71" s="40"/>
      <c r="P71" s="40"/>
      <c r="Q71" s="66"/>
      <c r="R71" s="66"/>
      <c r="S71" s="66"/>
      <c r="T71" s="66"/>
      <c r="U71" s="66"/>
      <c r="V71" s="66"/>
      <c r="W71" s="66"/>
      <c r="X71" s="66"/>
      <c r="Y71" s="66"/>
      <c r="Z71" s="67"/>
    </row>
    <row r="72" spans="2:26" x14ac:dyDescent="0.25">
      <c r="B72" s="57" t="s">
        <v>146</v>
      </c>
      <c r="C72" s="181">
        <v>72</v>
      </c>
      <c r="D72" s="19" t="s">
        <v>93</v>
      </c>
      <c r="E72" s="19" t="s">
        <v>95</v>
      </c>
      <c r="F72" s="34" t="s">
        <v>94</v>
      </c>
      <c r="H72" s="57" t="s">
        <v>146</v>
      </c>
      <c r="I72" s="181">
        <v>81</v>
      </c>
      <c r="J72" s="19" t="s">
        <v>93</v>
      </c>
      <c r="K72" s="19" t="s">
        <v>95</v>
      </c>
      <c r="L72" s="34" t="s">
        <v>94</v>
      </c>
      <c r="N72" s="68" t="s">
        <v>63</v>
      </c>
      <c r="O72" s="2" t="s">
        <v>48</v>
      </c>
      <c r="P72" s="2" t="s">
        <v>228</v>
      </c>
      <c r="Q72" s="69" t="s">
        <v>64</v>
      </c>
      <c r="R72" s="69" t="s">
        <v>70</v>
      </c>
      <c r="S72" s="70" t="s">
        <v>74</v>
      </c>
      <c r="T72" s="69" t="s">
        <v>69</v>
      </c>
      <c r="U72" s="69" t="s">
        <v>71</v>
      </c>
      <c r="V72" s="69" t="s">
        <v>73</v>
      </c>
      <c r="W72" s="69" t="s">
        <v>75</v>
      </c>
      <c r="X72" s="69" t="s">
        <v>25</v>
      </c>
      <c r="Y72" s="69" t="s">
        <v>66</v>
      </c>
      <c r="Z72" s="71" t="s">
        <v>76</v>
      </c>
    </row>
    <row r="73" spans="2:26" x14ac:dyDescent="0.25">
      <c r="B73" s="201" t="s">
        <v>144</v>
      </c>
      <c r="C73" s="59" t="s">
        <v>147</v>
      </c>
      <c r="D73" s="106">
        <v>0</v>
      </c>
      <c r="E73" s="206">
        <v>38.99</v>
      </c>
      <c r="F73" s="179">
        <v>0</v>
      </c>
      <c r="H73" s="201" t="s">
        <v>144</v>
      </c>
      <c r="I73" s="59" t="s">
        <v>147</v>
      </c>
      <c r="J73" s="106">
        <v>0</v>
      </c>
      <c r="K73" s="206">
        <v>38.99</v>
      </c>
      <c r="L73" s="179">
        <v>0</v>
      </c>
      <c r="N73" s="78" t="str">
        <f>'Cross Sections and Materials'!C15</f>
        <v>CHS 177.8x6.3</v>
      </c>
      <c r="O73" s="106">
        <v>350</v>
      </c>
      <c r="P73" s="106">
        <v>700</v>
      </c>
      <c r="Q73" s="79">
        <f>'Cross Sections and Materials'!F15</f>
        <v>32.380000000000003</v>
      </c>
      <c r="R73" s="79">
        <f>'Cross Sections and Materials'!G15</f>
        <v>6.08</v>
      </c>
      <c r="S73" s="79">
        <f>'Cross Sections and Materials'!I15</f>
        <v>0.49</v>
      </c>
      <c r="T73" s="8">
        <f>SQRT(O73^2+P73^2)</f>
        <v>782.62379212492635</v>
      </c>
      <c r="U73" s="5">
        <f>0.8*T73</f>
        <v>626.09903369994117</v>
      </c>
      <c r="V73" s="9">
        <f>U73/R73/$C$6</f>
        <v>1.0966646938581448</v>
      </c>
      <c r="W73" s="6">
        <f>0.5*(1+S73*(V73-0.2)+V73^2)</f>
        <v>1.3210195753727347</v>
      </c>
      <c r="X73" s="9">
        <f>MIN(1/(W73+SQRT(W73^2-V73^2)), 1)</f>
        <v>0.48602418929728419</v>
      </c>
      <c r="Y73" s="5">
        <f>Q73*$C$3/$C$4</f>
        <v>760.93000000000006</v>
      </c>
      <c r="Z73" s="62">
        <f>X73*Q73*$C$3/$C$5</f>
        <v>336.20944214725682</v>
      </c>
    </row>
    <row r="74" spans="2:26" x14ac:dyDescent="0.25">
      <c r="B74" s="201"/>
      <c r="C74" s="59" t="s">
        <v>138</v>
      </c>
      <c r="D74" s="106">
        <v>0</v>
      </c>
      <c r="E74" s="206">
        <v>-56.11</v>
      </c>
      <c r="F74" s="179">
        <v>0</v>
      </c>
      <c r="H74" s="201"/>
      <c r="I74" s="59" t="s">
        <v>138</v>
      </c>
      <c r="J74" s="106">
        <v>0</v>
      </c>
      <c r="K74" s="206">
        <v>57.65</v>
      </c>
      <c r="L74" s="179">
        <v>0</v>
      </c>
      <c r="N74" s="23"/>
      <c r="Z74" s="24"/>
    </row>
    <row r="75" spans="2:26" x14ac:dyDescent="0.25">
      <c r="B75" s="201"/>
      <c r="C75" s="59" t="s">
        <v>139</v>
      </c>
      <c r="D75" s="4"/>
      <c r="E75" s="4"/>
      <c r="F75" s="49"/>
      <c r="H75" s="201"/>
      <c r="I75" s="59" t="s">
        <v>139</v>
      </c>
      <c r="J75" s="4"/>
      <c r="K75" s="4"/>
      <c r="L75" s="49"/>
      <c r="N75" s="23"/>
      <c r="O75" s="204" t="s">
        <v>224</v>
      </c>
      <c r="P75" s="204"/>
      <c r="Q75" s="204"/>
      <c r="S75" s="204" t="s">
        <v>225</v>
      </c>
      <c r="T75" s="204"/>
      <c r="U75" s="204"/>
      <c r="Z75" s="24"/>
    </row>
    <row r="76" spans="2:26" x14ac:dyDescent="0.25">
      <c r="B76" s="202"/>
      <c r="C76" s="60" t="s">
        <v>148</v>
      </c>
      <c r="D76" s="46">
        <f>SUM(D73:D75)</f>
        <v>0</v>
      </c>
      <c r="E76" s="47">
        <f t="shared" ref="E76:F76" si="15">SUM(E73:E75)</f>
        <v>-17.119999999999997</v>
      </c>
      <c r="F76" s="50">
        <f t="shared" si="15"/>
        <v>0</v>
      </c>
      <c r="H76" s="202"/>
      <c r="I76" s="60" t="s">
        <v>148</v>
      </c>
      <c r="J76" s="46">
        <f>SUM(J73:J75)</f>
        <v>0</v>
      </c>
      <c r="K76" s="47">
        <f t="shared" ref="K76:L76" si="16">SUM(K73:K75)</f>
        <v>96.64</v>
      </c>
      <c r="L76" s="50">
        <f t="shared" si="16"/>
        <v>0</v>
      </c>
      <c r="N76" s="23"/>
      <c r="O76" s="2" t="s">
        <v>95</v>
      </c>
      <c r="P76" s="14" t="s">
        <v>67</v>
      </c>
      <c r="S76" s="2" t="s">
        <v>95</v>
      </c>
      <c r="T76" s="14" t="s">
        <v>67</v>
      </c>
      <c r="Z76" s="24"/>
    </row>
    <row r="77" spans="2:26" x14ac:dyDescent="0.25">
      <c r="B77" s="44"/>
      <c r="F77" s="24"/>
      <c r="H77" s="44"/>
      <c r="L77" s="24"/>
      <c r="N77" s="26" t="s">
        <v>144</v>
      </c>
      <c r="O77" s="80">
        <f>K76</f>
        <v>96.64</v>
      </c>
      <c r="P77" s="9">
        <f>O77/Z73</f>
        <v>0.28743987492675033</v>
      </c>
      <c r="Q77" s="2" t="str">
        <f>IF(P77&lt;1,"OK!","NG!")</f>
        <v>OK!</v>
      </c>
      <c r="S77" s="6">
        <f>ABS(MIN(E76,0))</f>
        <v>17.119999999999997</v>
      </c>
      <c r="T77" s="9">
        <f>S77/Y73</f>
        <v>2.2498784382269061E-2</v>
      </c>
      <c r="U77" s="2" t="str">
        <f>IF(T77&lt;1,"OK!","NG!")</f>
        <v>OK!</v>
      </c>
      <c r="Z77" s="24"/>
    </row>
    <row r="78" spans="2:26" ht="15.75" thickBot="1" x14ac:dyDescent="0.3">
      <c r="B78" s="57" t="s">
        <v>146</v>
      </c>
      <c r="C78" s="181">
        <v>72</v>
      </c>
      <c r="D78" s="77" t="s">
        <v>93</v>
      </c>
      <c r="E78" s="48" t="s">
        <v>95</v>
      </c>
      <c r="F78" s="51" t="s">
        <v>94</v>
      </c>
      <c r="H78" s="57" t="s">
        <v>146</v>
      </c>
      <c r="I78" s="181">
        <v>81</v>
      </c>
      <c r="J78" s="77" t="s">
        <v>93</v>
      </c>
      <c r="K78" s="48" t="s">
        <v>95</v>
      </c>
      <c r="L78" s="51" t="s">
        <v>94</v>
      </c>
      <c r="N78" s="53" t="s">
        <v>145</v>
      </c>
      <c r="O78" s="81">
        <f>K82</f>
        <v>131.48000000000002</v>
      </c>
      <c r="P78" s="28">
        <f>O78/Z73</f>
        <v>0.39106575698850515</v>
      </c>
      <c r="Q78" s="64" t="str">
        <f>IF(P78&lt;1,"OK!","NG!")</f>
        <v>OK!</v>
      </c>
      <c r="R78" s="29"/>
      <c r="S78" s="82">
        <f>ABS(MIN(E82,0))</f>
        <v>57.08</v>
      </c>
      <c r="T78" s="28">
        <f>S78/Y73</f>
        <v>7.5013470358640075E-2</v>
      </c>
      <c r="U78" s="64" t="str">
        <f>IF(T78&lt;1,"OK!","NG!")</f>
        <v>OK!</v>
      </c>
      <c r="V78" s="29"/>
      <c r="W78" s="29"/>
      <c r="X78" s="29"/>
      <c r="Y78" s="29"/>
      <c r="Z78" s="30"/>
    </row>
    <row r="79" spans="2:26" x14ac:dyDescent="0.25">
      <c r="B79" s="201" t="s">
        <v>145</v>
      </c>
      <c r="C79" s="59" t="s">
        <v>147</v>
      </c>
      <c r="D79" s="106">
        <v>0</v>
      </c>
      <c r="E79" s="206">
        <v>35.94</v>
      </c>
      <c r="F79" s="179">
        <v>0</v>
      </c>
      <c r="H79" s="201" t="s">
        <v>145</v>
      </c>
      <c r="I79" s="59" t="s">
        <v>147</v>
      </c>
      <c r="J79" s="106">
        <v>0</v>
      </c>
      <c r="K79" s="206">
        <v>35.94</v>
      </c>
      <c r="L79" s="179">
        <v>0</v>
      </c>
    </row>
    <row r="80" spans="2:26" x14ac:dyDescent="0.25">
      <c r="B80" s="201"/>
      <c r="C80" s="59" t="s">
        <v>138</v>
      </c>
      <c r="D80" s="106">
        <v>0</v>
      </c>
      <c r="E80" s="215">
        <v>-93.02</v>
      </c>
      <c r="F80" s="179">
        <v>0</v>
      </c>
      <c r="H80" s="201"/>
      <c r="I80" s="59" t="s">
        <v>138</v>
      </c>
      <c r="J80" s="106">
        <v>0</v>
      </c>
      <c r="K80" s="206">
        <v>95.54</v>
      </c>
      <c r="L80" s="179">
        <v>0</v>
      </c>
      <c r="N80" t="s">
        <v>229</v>
      </c>
    </row>
    <row r="81" spans="2:12" x14ac:dyDescent="0.25">
      <c r="B81" s="201"/>
      <c r="C81" s="59" t="s">
        <v>139</v>
      </c>
      <c r="D81" s="4"/>
      <c r="E81" s="4"/>
      <c r="F81" s="49"/>
      <c r="H81" s="201"/>
      <c r="I81" s="59" t="s">
        <v>139</v>
      </c>
      <c r="J81" s="4"/>
      <c r="K81" s="4"/>
      <c r="L81" s="49"/>
    </row>
    <row r="82" spans="2:12" ht="15.75" thickBot="1" x14ac:dyDescent="0.3">
      <c r="B82" s="203"/>
      <c r="C82" s="61" t="s">
        <v>148</v>
      </c>
      <c r="D82" s="38">
        <f>SUM(D79:D81)</f>
        <v>0</v>
      </c>
      <c r="E82" s="45">
        <f t="shared" ref="E82:F82" si="17">SUM(E79:E81)</f>
        <v>-57.08</v>
      </c>
      <c r="F82" s="39">
        <f t="shared" si="17"/>
        <v>0</v>
      </c>
      <c r="H82" s="203"/>
      <c r="I82" s="61" t="s">
        <v>148</v>
      </c>
      <c r="J82" s="38">
        <f>SUM(J79:J81)</f>
        <v>0</v>
      </c>
      <c r="K82" s="45">
        <f t="shared" ref="K82:L82" si="18">SUM(K79:K81)</f>
        <v>131.48000000000002</v>
      </c>
      <c r="L82" s="39">
        <f t="shared" si="18"/>
        <v>0</v>
      </c>
    </row>
  </sheetData>
  <mergeCells count="24">
    <mergeCell ref="J71:L71"/>
    <mergeCell ref="B73:B76"/>
    <mergeCell ref="H73:H76"/>
    <mergeCell ref="B79:B82"/>
    <mergeCell ref="H79:H82"/>
    <mergeCell ref="S45:U45"/>
    <mergeCell ref="O60:Q60"/>
    <mergeCell ref="S60:U60"/>
    <mergeCell ref="O75:Q75"/>
    <mergeCell ref="S75:U75"/>
    <mergeCell ref="B58:B61"/>
    <mergeCell ref="H58:H61"/>
    <mergeCell ref="B64:B67"/>
    <mergeCell ref="H64:H67"/>
    <mergeCell ref="O45:Q45"/>
    <mergeCell ref="J41:L41"/>
    <mergeCell ref="H43:H46"/>
    <mergeCell ref="H49:H52"/>
    <mergeCell ref="B19:B22"/>
    <mergeCell ref="B13:B16"/>
    <mergeCell ref="B28:B31"/>
    <mergeCell ref="B34:B37"/>
    <mergeCell ref="B43:B46"/>
    <mergeCell ref="B49:B52"/>
  </mergeCells>
  <conditionalFormatting sqref="K31:K32">
    <cfRule type="cellIs" dxfId="71" priority="22" operator="equal">
      <formula>"NG!"</formula>
    </cfRule>
    <cfRule type="cellIs" dxfId="70" priority="23" operator="equal">
      <formula>"OK..."</formula>
    </cfRule>
    <cfRule type="cellIs" dxfId="69" priority="24" operator="equal">
      <formula>"OK!"</formula>
    </cfRule>
  </conditionalFormatting>
  <conditionalFormatting sqref="P37:P40">
    <cfRule type="cellIs" dxfId="68" priority="28" operator="equal">
      <formula>"NG!"</formula>
    </cfRule>
    <cfRule type="cellIs" dxfId="67" priority="29" operator="equal">
      <formula>"OK..."</formula>
    </cfRule>
    <cfRule type="cellIs" dxfId="66" priority="30" operator="equal">
      <formula>"OK!"</formula>
    </cfRule>
  </conditionalFormatting>
  <conditionalFormatting sqref="Q16:Q17 P24">
    <cfRule type="cellIs" dxfId="65" priority="25" operator="equal">
      <formula>"NG!"</formula>
    </cfRule>
    <cfRule type="cellIs" dxfId="64" priority="26" operator="equal">
      <formula>"OK..."</formula>
    </cfRule>
    <cfRule type="cellIs" dxfId="63" priority="27" operator="equal">
      <formula>"OK!"</formula>
    </cfRule>
  </conditionalFormatting>
  <conditionalFormatting sqref="Q47:Q48">
    <cfRule type="cellIs" dxfId="62" priority="19" operator="equal">
      <formula>"NG!"</formula>
    </cfRule>
    <cfRule type="cellIs" dxfId="61" priority="20" operator="equal">
      <formula>"OK..."</formula>
    </cfRule>
    <cfRule type="cellIs" dxfId="60" priority="21" operator="equal">
      <formula>"OK!"</formula>
    </cfRule>
  </conditionalFormatting>
  <conditionalFormatting sqref="Q62:Q63">
    <cfRule type="cellIs" dxfId="59" priority="10" operator="equal">
      <formula>"NG!"</formula>
    </cfRule>
    <cfRule type="cellIs" dxfId="58" priority="11" operator="equal">
      <formula>"OK..."</formula>
    </cfRule>
    <cfRule type="cellIs" dxfId="57" priority="12" operator="equal">
      <formula>"OK!"</formula>
    </cfRule>
  </conditionalFormatting>
  <conditionalFormatting sqref="Q77:Q78">
    <cfRule type="cellIs" dxfId="56" priority="4" operator="equal">
      <formula>"NG!"</formula>
    </cfRule>
    <cfRule type="cellIs" dxfId="55" priority="5" operator="equal">
      <formula>"OK..."</formula>
    </cfRule>
    <cfRule type="cellIs" dxfId="54" priority="6" operator="equal">
      <formula>"OK!"</formula>
    </cfRule>
  </conditionalFormatting>
  <conditionalFormatting sqref="U47:U48">
    <cfRule type="cellIs" dxfId="53" priority="13" operator="equal">
      <formula>"NG!"</formula>
    </cfRule>
    <cfRule type="cellIs" dxfId="52" priority="14" operator="equal">
      <formula>"OK..."</formula>
    </cfRule>
    <cfRule type="cellIs" dxfId="51" priority="15" operator="equal">
      <formula>"OK!"</formula>
    </cfRule>
  </conditionalFormatting>
  <conditionalFormatting sqref="U62:U63">
    <cfRule type="cellIs" dxfId="50" priority="7" operator="equal">
      <formula>"NG!"</formula>
    </cfRule>
    <cfRule type="cellIs" dxfId="49" priority="8" operator="equal">
      <formula>"OK..."</formula>
    </cfRule>
    <cfRule type="cellIs" dxfId="48" priority="9" operator="equal">
      <formula>"OK!"</formula>
    </cfRule>
  </conditionalFormatting>
  <conditionalFormatting sqref="U77:U78">
    <cfRule type="cellIs" dxfId="47" priority="1" operator="equal">
      <formula>"NG!"</formula>
    </cfRule>
    <cfRule type="cellIs" dxfId="46" priority="2" operator="equal">
      <formula>"OK..."</formula>
    </cfRule>
    <cfRule type="cellIs" dxfId="45" priority="3" operator="equal">
      <formula>"OK!"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494B-EAA7-49FC-82D4-577F7B6D5C87}">
  <dimension ref="C2:R283"/>
  <sheetViews>
    <sheetView tabSelected="1" zoomScale="85" zoomScaleNormal="85" workbookViewId="0">
      <selection activeCell="U217" sqref="U217"/>
    </sheetView>
  </sheetViews>
  <sheetFormatPr baseColWidth="10" defaultRowHeight="15" x14ac:dyDescent="0.25"/>
  <cols>
    <col min="2" max="2" width="4.140625" customWidth="1"/>
    <col min="3" max="3" width="13.28515625" customWidth="1"/>
    <col min="4" max="4" width="13.85546875" bestFit="1" customWidth="1"/>
    <col min="5" max="5" width="14.7109375" customWidth="1"/>
    <col min="6" max="6" width="16.7109375" bestFit="1" customWidth="1"/>
    <col min="7" max="7" width="18.28515625" customWidth="1"/>
    <col min="8" max="8" width="13.28515625" customWidth="1"/>
    <col min="9" max="9" width="15.28515625" customWidth="1"/>
    <col min="11" max="11" width="12" bestFit="1" customWidth="1"/>
  </cols>
  <sheetData>
    <row r="2" spans="3:16" ht="15.75" x14ac:dyDescent="0.25">
      <c r="C2" s="168" t="s">
        <v>120</v>
      </c>
    </row>
    <row r="3" spans="3:16" ht="16.5" thickBot="1" x14ac:dyDescent="0.3">
      <c r="C3" s="168"/>
    </row>
    <row r="4" spans="3:16" ht="15.75" x14ac:dyDescent="0.25">
      <c r="C4" s="167" t="s">
        <v>122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29"/>
    </row>
    <row r="5" spans="3:16" x14ac:dyDescent="0.25">
      <c r="C5" s="23" t="s">
        <v>124</v>
      </c>
      <c r="P5" s="24"/>
    </row>
    <row r="6" spans="3:16" x14ac:dyDescent="0.25">
      <c r="C6" s="23" t="s">
        <v>90</v>
      </c>
      <c r="D6" s="5">
        <f>'Cross Sections and Materials'!Q5</f>
        <v>21000</v>
      </c>
      <c r="E6" t="s">
        <v>61</v>
      </c>
      <c r="P6" s="24"/>
    </row>
    <row r="7" spans="3:16" ht="18" x14ac:dyDescent="0.35">
      <c r="C7" s="151" t="s">
        <v>3</v>
      </c>
      <c r="D7" s="127" t="s">
        <v>63</v>
      </c>
      <c r="E7" s="127" t="s">
        <v>115</v>
      </c>
      <c r="F7" s="127" t="s">
        <v>114</v>
      </c>
      <c r="G7" s="127" t="s">
        <v>64</v>
      </c>
      <c r="H7" s="127" t="s">
        <v>69</v>
      </c>
      <c r="I7" s="127" t="s">
        <v>130</v>
      </c>
      <c r="J7" s="127" t="s">
        <v>128</v>
      </c>
      <c r="K7" s="127" t="s">
        <v>129</v>
      </c>
      <c r="P7" s="24"/>
    </row>
    <row r="8" spans="3:16" x14ac:dyDescent="0.25">
      <c r="C8" s="23">
        <v>1</v>
      </c>
      <c r="D8" s="20" t="str">
        <f>IF(Loads!C24&lt;&gt;"", 'Cross Sections and Materials'!C13, "")</f>
        <v>CHS 193.7x6</v>
      </c>
      <c r="E8" s="106">
        <v>350</v>
      </c>
      <c r="F8" s="106">
        <v>700</v>
      </c>
      <c r="G8" s="20">
        <f>IF(Loads!C24&lt;&gt;"", 'Cross Sections and Materials'!F13, "")</f>
        <v>35.380000000000003</v>
      </c>
      <c r="H8" s="6">
        <f>IF(Loads!C24&lt;&gt;"", SQRT(E8^2+F8^2), "")</f>
        <v>782.62379212492635</v>
      </c>
      <c r="I8" s="8">
        <f>IF(Loads!C24&lt;&gt;"", G8*$D$6/H8, "")</f>
        <v>949.34502052731079</v>
      </c>
      <c r="J8" s="8">
        <f>IF(Loads!C24&lt;&gt;"", 2*I8*(F8/H8)^2, "")</f>
        <v>1518.9520328436975</v>
      </c>
      <c r="P8" s="24"/>
    </row>
    <row r="9" spans="3:16" x14ac:dyDescent="0.25">
      <c r="C9" s="23">
        <v>2</v>
      </c>
      <c r="D9" s="20" t="str">
        <f>IF(Loads!C25&lt;&gt;"", 'Cross Sections and Materials'!C14, "")</f>
        <v>CHS 193.7x6</v>
      </c>
      <c r="E9" s="106">
        <v>350</v>
      </c>
      <c r="F9" s="106">
        <v>700</v>
      </c>
      <c r="G9" s="20">
        <f>IF(Loads!C25&lt;&gt;"", 'Cross Sections and Materials'!F14, "")</f>
        <v>35.380000000000003</v>
      </c>
      <c r="H9" s="6">
        <f>IF(Loads!C25&lt;&gt;"", SQRT(E9^2+F9^2), "")</f>
        <v>782.62379212492635</v>
      </c>
      <c r="I9" s="8">
        <f>IF(Loads!C25&lt;&gt;"", G9*$D$6/H9, "")</f>
        <v>949.34502052731079</v>
      </c>
      <c r="J9" s="8">
        <f>IF(Loads!C25&lt;&gt;"", 2*I9*(F9/H9)^2, "")</f>
        <v>1518.9520328436975</v>
      </c>
      <c r="K9" s="6">
        <f>IF(Loads!C25&lt;&gt;"", J9/J8, "")</f>
        <v>1</v>
      </c>
      <c r="L9" s="2" t="str">
        <f>IF(Loads!C25&lt;&gt;"", IF(AND(K9&gt;=0.8, K9&lt;=1),"OK!","NG!"), "")</f>
        <v>OK!</v>
      </c>
      <c r="M9" t="s">
        <v>127</v>
      </c>
      <c r="P9" s="24"/>
    </row>
    <row r="10" spans="3:16" x14ac:dyDescent="0.25">
      <c r="C10" s="23">
        <v>3</v>
      </c>
      <c r="D10" s="20" t="str">
        <f>IF(Loads!C26&lt;&gt;"", 'Cross Sections and Materials'!C15, "")</f>
        <v>CHS 177.8x6.3</v>
      </c>
      <c r="E10" s="106">
        <v>350</v>
      </c>
      <c r="F10" s="106">
        <v>700</v>
      </c>
      <c r="G10" s="20">
        <f>IF(Loads!C26&lt;&gt;"", 'Cross Sections and Materials'!F15, "")</f>
        <v>32.380000000000003</v>
      </c>
      <c r="H10" s="6">
        <f>IF(Loads!C26&lt;&gt;"", SQRT(E10^2+F10^2), "")</f>
        <v>782.62379212492635</v>
      </c>
      <c r="I10" s="8">
        <f>IF(Loads!C26&lt;&gt;"", G10*$D$6/H10, "")</f>
        <v>868.84657333731832</v>
      </c>
      <c r="J10" s="8">
        <f>IF(Loads!C26&lt;&gt;"", 2*I10*(F10/H10)^2, "")</f>
        <v>1390.1545173397096</v>
      </c>
      <c r="K10" s="6">
        <f>IF(Loads!C26&lt;&gt;"", J10/J9, "")</f>
        <v>0.91520633126059925</v>
      </c>
      <c r="L10" s="2" t="str">
        <f>IF(Loads!C26&lt;&gt;"", IF(AND(K10&gt;=0.8, K10&lt;=1),"OK!","NG!"), "")</f>
        <v>OK!</v>
      </c>
      <c r="P10" s="24"/>
    </row>
    <row r="11" spans="3:16" x14ac:dyDescent="0.25">
      <c r="C11" s="23">
        <v>4</v>
      </c>
      <c r="D11" s="20" t="str">
        <f>IF(Loads!C27&lt;&gt;"", 'Cross Sections and Materials'!C16, "")</f>
        <v>CHS 168.3x6</v>
      </c>
      <c r="E11" s="106">
        <v>350</v>
      </c>
      <c r="F11" s="106">
        <v>700</v>
      </c>
      <c r="G11" s="20">
        <f>IF(Loads!C27&lt;&gt;"", 'Cross Sections and Materials'!F16, "")</f>
        <v>30.59</v>
      </c>
      <c r="H11" s="6">
        <f>IF(Loads!C27&lt;&gt;"", SQRT(E11^2+F11^2), "")</f>
        <v>782.62379212492635</v>
      </c>
      <c r="I11" s="8">
        <f>IF(Loads!C27&lt;&gt;"", G11*$D$6/H11, "")</f>
        <v>820.8158331806228</v>
      </c>
      <c r="J11" s="8">
        <f>IF(Loads!C27&lt;&gt;"", 2*I11*(F11/H11)^2, "")</f>
        <v>1313.3053330889968</v>
      </c>
      <c r="K11" s="6">
        <f>IF(Loads!C27&lt;&gt;"", J11/J10, "")</f>
        <v>0.94471896232242125</v>
      </c>
      <c r="L11" s="2" t="str">
        <f>IF(Loads!C27&lt;&gt;"", IF(AND(K11&gt;=0.8, K11&lt;=1),"OK!","NG!"), "")</f>
        <v>OK!</v>
      </c>
      <c r="P11" s="24"/>
    </row>
    <row r="12" spans="3:16" x14ac:dyDescent="0.25">
      <c r="C12" s="23">
        <v>5</v>
      </c>
      <c r="D12" s="20" t="str">
        <f>IF(Loads!C28&lt;&gt;"", 'Cross Sections and Materials'!C17, "")</f>
        <v>CHS 139.7x6.3</v>
      </c>
      <c r="E12" s="106">
        <v>350</v>
      </c>
      <c r="F12" s="106">
        <v>700</v>
      </c>
      <c r="G12" s="20">
        <f>IF(Loads!C28&lt;&gt;"", 'Cross Sections and Materials'!F17, "")</f>
        <v>26.4</v>
      </c>
      <c r="H12" s="6">
        <f>IF(Loads!C28&lt;&gt;"", SQRT(E12^2+F12^2), "")</f>
        <v>782.62379212492635</v>
      </c>
      <c r="I12" s="8">
        <f>IF(Loads!C28&lt;&gt;"", G12*$D$6/H12, "")</f>
        <v>708.38633527193338</v>
      </c>
      <c r="J12" s="8">
        <f>IF(Loads!C28&lt;&gt;"", 2*I12*(F12/H12)^2, "")</f>
        <v>1133.4181364350936</v>
      </c>
      <c r="K12" s="6">
        <f>IF(Loads!C28&lt;&gt;"", J12/J11, "")</f>
        <v>0.86302713305001633</v>
      </c>
      <c r="L12" s="2" t="str">
        <f>IF(Loads!C28&lt;&gt;"", IF(AND(K12&gt;=0.8, K12&lt;=1),"OK!","NG!"), "")</f>
        <v>OK!</v>
      </c>
      <c r="P12" s="24"/>
    </row>
    <row r="13" spans="3:16" x14ac:dyDescent="0.25">
      <c r="C13" s="23">
        <v>6</v>
      </c>
      <c r="D13" s="20" t="str">
        <f>IF(Loads!C29&lt;&gt;"", 'Cross Sections and Materials'!C18, "")</f>
        <v>CHS 177.8x6.3</v>
      </c>
      <c r="E13" s="106">
        <v>350</v>
      </c>
      <c r="F13" s="106">
        <v>700</v>
      </c>
      <c r="G13" s="20">
        <f>IF(Loads!C29&lt;&gt;"", 'Cross Sections and Materials'!F18, "")</f>
        <v>32.380000000000003</v>
      </c>
      <c r="H13" s="6">
        <f>IF(Loads!C29&lt;&gt;"", SQRT(E13^2+F13^2), "")</f>
        <v>782.62379212492635</v>
      </c>
      <c r="I13" s="8">
        <f>IF(Loads!C29&lt;&gt;"", G13*$D$6/H13, "")</f>
        <v>868.84657333731832</v>
      </c>
      <c r="J13" s="8">
        <f>IF(Loads!C29&lt;&gt;"", 2*I13*(F13/H13)^2, "")</f>
        <v>1390.1545173397096</v>
      </c>
      <c r="K13" s="6">
        <f>IF(Loads!C29&lt;&gt;"", J13/J12, "")</f>
        <v>1.2265151515151516</v>
      </c>
      <c r="L13" s="2" t="str">
        <f>IF(Loads!C29&lt;&gt;"", IF(AND(K13&gt;=0.8, K13&lt;=1),"OK!","NG!"), "")</f>
        <v>NG!</v>
      </c>
      <c r="P13" s="24"/>
    </row>
    <row r="14" spans="3:16" x14ac:dyDescent="0.25">
      <c r="C14" s="23">
        <v>7</v>
      </c>
      <c r="D14" s="20" t="str">
        <f>IF(Loads!C30&lt;&gt;"", 'Cross Sections and Materials'!C19, "")</f>
        <v/>
      </c>
      <c r="E14" s="106"/>
      <c r="F14" s="106"/>
      <c r="G14" s="20" t="str">
        <f>IF(Loads!C30&lt;&gt;"", 'Cross Sections and Materials'!F19, "")</f>
        <v/>
      </c>
      <c r="H14" s="6" t="str">
        <f>IF(Loads!C30&lt;&gt;"", SQRT(E14^2+F14^2), "")</f>
        <v/>
      </c>
      <c r="I14" s="8" t="str">
        <f>IF(Loads!C30&lt;&gt;"", G14*$D$6/H14, "")</f>
        <v/>
      </c>
      <c r="J14" s="8" t="str">
        <f>IF(Loads!C30&lt;&gt;"", 2*I14*(F14/H14)^2, "")</f>
        <v/>
      </c>
      <c r="K14" s="6" t="str">
        <f>IF(Loads!C30&lt;&gt;"", J14/J13, "")</f>
        <v/>
      </c>
      <c r="L14" s="2" t="str">
        <f>IF(Loads!C30&lt;&gt;"", IF(AND(K14&gt;=0.8, K14&lt;=1),"OK!","NG!"), "")</f>
        <v/>
      </c>
      <c r="P14" s="24"/>
    </row>
    <row r="15" spans="3:16" x14ac:dyDescent="0.25">
      <c r="C15" s="23">
        <v>8</v>
      </c>
      <c r="D15" s="20" t="str">
        <f>IF(Loads!C31&lt;&gt;"", 'Cross Sections and Materials'!C20, "")</f>
        <v/>
      </c>
      <c r="E15" s="106"/>
      <c r="F15" s="106"/>
      <c r="G15" s="20" t="str">
        <f>IF(Loads!C31&lt;&gt;"", 'Cross Sections and Materials'!F20, "")</f>
        <v/>
      </c>
      <c r="H15" s="6" t="str">
        <f>IF(Loads!C31&lt;&gt;"", SQRT(E15^2+F15^2), "")</f>
        <v/>
      </c>
      <c r="I15" s="8" t="str">
        <f>IF(Loads!C31&lt;&gt;"", G15*$D$6/H15, "")</f>
        <v/>
      </c>
      <c r="J15" s="8" t="str">
        <f>IF(Loads!C31&lt;&gt;"", 2*I15*(F15/H15)^2, "")</f>
        <v/>
      </c>
      <c r="K15" s="6" t="str">
        <f>IF(Loads!C31&lt;&gt;"", J15/J14, "")</f>
        <v/>
      </c>
      <c r="L15" s="2" t="str">
        <f>IF(Loads!C31&lt;&gt;"", IF(AND(K15&gt;=0.8, K15&lt;=1),"OK!","NG!"), "")</f>
        <v/>
      </c>
      <c r="P15" s="24"/>
    </row>
    <row r="16" spans="3:16" ht="15.75" thickBot="1" x14ac:dyDescent="0.3">
      <c r="C16" s="27">
        <v>9</v>
      </c>
      <c r="D16" s="154" t="str">
        <f>IF(Loads!C32&lt;&gt;"", 'Cross Sections and Materials'!C21, "")</f>
        <v/>
      </c>
      <c r="E16" s="178"/>
      <c r="F16" s="178"/>
      <c r="G16" s="154" t="str">
        <f>IF(Loads!C32&lt;&gt;"", 'Cross Sections and Materials'!F21, "")</f>
        <v/>
      </c>
      <c r="H16" s="82" t="str">
        <f>IF(Loads!C32&lt;&gt;"", SQRT(E16^2+F16^2), "")</f>
        <v/>
      </c>
      <c r="I16" s="45" t="str">
        <f>IF(Loads!C32&lt;&gt;"", G16*$D$6/H16, "")</f>
        <v/>
      </c>
      <c r="J16" s="45" t="str">
        <f>IF(Loads!C32&lt;&gt;"", 2*I16*(F16/H16)^2, "")</f>
        <v/>
      </c>
      <c r="K16" s="82" t="str">
        <f>IF(Loads!C32&lt;&gt;"", J16/J15, "")</f>
        <v/>
      </c>
      <c r="L16" s="64" t="str">
        <f>IF(Loads!C32&lt;&gt;"", IF(AND(K16&gt;=0.8, K16&lt;=1),"OK!","NG!"), "")</f>
        <v/>
      </c>
      <c r="M16" s="29"/>
      <c r="N16" s="29"/>
      <c r="O16" s="29"/>
      <c r="P16" s="30"/>
    </row>
    <row r="17" spans="3:13" ht="15.75" thickBot="1" x14ac:dyDescent="0.3"/>
    <row r="18" spans="3:13" ht="15.75" x14ac:dyDescent="0.25">
      <c r="C18" s="167" t="s">
        <v>123</v>
      </c>
      <c r="D18" s="163"/>
      <c r="E18" s="163"/>
      <c r="F18" s="163"/>
      <c r="G18" s="163"/>
      <c r="H18" s="163"/>
      <c r="I18" s="129"/>
    </row>
    <row r="19" spans="3:13" x14ac:dyDescent="0.25">
      <c r="C19" s="23"/>
      <c r="I19" s="24"/>
    </row>
    <row r="20" spans="3:13" ht="18" x14ac:dyDescent="0.35">
      <c r="C20" s="151" t="s">
        <v>3</v>
      </c>
      <c r="D20" s="127" t="s">
        <v>125</v>
      </c>
      <c r="E20" s="127" t="s">
        <v>126</v>
      </c>
      <c r="F20" s="127"/>
      <c r="I20" s="24"/>
    </row>
    <row r="21" spans="3:13" x14ac:dyDescent="0.25">
      <c r="C21" s="23">
        <v>1</v>
      </c>
      <c r="D21" s="6">
        <f>IF(Loads!C24&lt;&gt;"", Loads!G40, "")</f>
        <v>107.88990825688074</v>
      </c>
      <c r="E21" s="193"/>
      <c r="F21" s="194"/>
      <c r="I21" s="24"/>
    </row>
    <row r="22" spans="3:13" x14ac:dyDescent="0.25">
      <c r="C22" s="23">
        <v>2</v>
      </c>
      <c r="D22" s="6">
        <f>IF(Loads!C25&lt;&gt;"", Loads!G41, "")</f>
        <v>107.88990825688074</v>
      </c>
      <c r="E22" s="6">
        <f>IF(Loads!C25&lt;&gt;"", D22/D21, "")</f>
        <v>1</v>
      </c>
      <c r="F22" s="2" t="str">
        <f>IF(Loads!C25&lt;&gt;"", IF(AND(E22&gt;=0.8, E22&lt;=1),"OK!","NG!"), "")</f>
        <v>OK!</v>
      </c>
      <c r="G22" t="s">
        <v>127</v>
      </c>
      <c r="I22" s="24"/>
    </row>
    <row r="23" spans="3:13" x14ac:dyDescent="0.25">
      <c r="C23" s="23">
        <v>3</v>
      </c>
      <c r="D23" s="6">
        <f>IF(Loads!C26&lt;&gt;"", Loads!G42, "")</f>
        <v>107.88990825688074</v>
      </c>
      <c r="E23" s="6">
        <f>IF(Loads!C26&lt;&gt;"", D23/D22, "")</f>
        <v>1</v>
      </c>
      <c r="F23" s="2" t="str">
        <f>IF(Loads!C26&lt;&gt;"", IF(AND(E23&gt;=0.8, E23&lt;=1),"OK!","NG!"), "")</f>
        <v>OK!</v>
      </c>
      <c r="I23" s="24"/>
    </row>
    <row r="24" spans="3:13" x14ac:dyDescent="0.25">
      <c r="C24" s="23">
        <v>4</v>
      </c>
      <c r="D24" s="6">
        <f>IF(Loads!C27&lt;&gt;"", Loads!G43, "")</f>
        <v>107.88990825688074</v>
      </c>
      <c r="E24" s="6">
        <f>IF(Loads!C27&lt;&gt;"", D24/D23, "")</f>
        <v>1</v>
      </c>
      <c r="F24" s="2" t="str">
        <f>IF(Loads!C27&lt;&gt;"", IF(AND(E24&gt;=0.8, E24&lt;=1),"OK!","NG!"), "")</f>
        <v>OK!</v>
      </c>
      <c r="I24" s="24"/>
    </row>
    <row r="25" spans="3:13" x14ac:dyDescent="0.25">
      <c r="C25" s="23">
        <v>5</v>
      </c>
      <c r="D25" s="6">
        <f>IF(Loads!C28&lt;&gt;"", Loads!G44, "")</f>
        <v>107.88990825688074</v>
      </c>
      <c r="E25" s="6">
        <f>IF(Loads!C28&lt;&gt;"", D25/D24, "")</f>
        <v>1</v>
      </c>
      <c r="F25" s="2" t="str">
        <f>IF(Loads!C28&lt;&gt;"", IF(AND(E25&gt;=0.8, E25&lt;=1),"OK!","NG!"), "")</f>
        <v>OK!</v>
      </c>
      <c r="I25" s="24"/>
    </row>
    <row r="26" spans="3:13" x14ac:dyDescent="0.25">
      <c r="C26" s="23">
        <v>6</v>
      </c>
      <c r="D26" s="6">
        <f>IF(Loads!C29&lt;&gt;"", Loads!G45, "")</f>
        <v>96.330275229357795</v>
      </c>
      <c r="E26" s="6">
        <f>IF(Loads!C29&lt;&gt;"", D26/D25, "")</f>
        <v>0.89285714285714279</v>
      </c>
      <c r="F26" s="2" t="str">
        <f>IF(Loads!C29&lt;&gt;"", IF(AND(E26&gt;=0.8, E26&lt;=1),"OK!","NG!"), "")</f>
        <v>OK!</v>
      </c>
      <c r="I26" s="24"/>
    </row>
    <row r="27" spans="3:13" x14ac:dyDescent="0.25">
      <c r="C27" s="23">
        <v>7</v>
      </c>
      <c r="D27" s="6" t="str">
        <f>IF(Loads!C30&lt;&gt;"", Loads!G46, "")</f>
        <v/>
      </c>
      <c r="E27" s="6" t="str">
        <f>IF(Loads!C30&lt;&gt;"", D27/D26, "")</f>
        <v/>
      </c>
      <c r="F27" s="2" t="str">
        <f>IF(Loads!C30&lt;&gt;"", IF(AND(E27&gt;=0.8, E27&lt;=1),"OK!","NG!"), "")</f>
        <v/>
      </c>
      <c r="I27" s="24"/>
    </row>
    <row r="28" spans="3:13" x14ac:dyDescent="0.25">
      <c r="C28" s="23">
        <v>8</v>
      </c>
      <c r="D28" s="6" t="str">
        <f>IF(Loads!C31&lt;&gt;"", Loads!G47, "")</f>
        <v/>
      </c>
      <c r="E28" s="6" t="str">
        <f>IF(Loads!C31&lt;&gt;"", D28/D27, "")</f>
        <v/>
      </c>
      <c r="F28" s="2" t="str">
        <f>IF(Loads!C31&lt;&gt;"", IF(AND(E28&gt;=0.8, E28&lt;=1),"OK!","NG!"), "")</f>
        <v/>
      </c>
      <c r="I28" s="24"/>
    </row>
    <row r="29" spans="3:13" ht="15.75" thickBot="1" x14ac:dyDescent="0.3">
      <c r="C29" s="27">
        <v>9</v>
      </c>
      <c r="D29" s="82" t="str">
        <f>IF(Loads!C32&lt;&gt;"", Loads!G48, "")</f>
        <v/>
      </c>
      <c r="E29" s="82" t="str">
        <f>IF(Loads!C32&lt;&gt;"", D29/D28, "")</f>
        <v/>
      </c>
      <c r="F29" s="64" t="str">
        <f>IF(Loads!C32&lt;&gt;"", IF(AND(E29&gt;=0.8, E29&lt;=1),"OK!","NG!"), "")</f>
        <v/>
      </c>
      <c r="G29" s="29"/>
      <c r="H29" s="29"/>
      <c r="I29" s="30"/>
    </row>
    <row r="30" spans="3:13" ht="15.75" thickBot="1" x14ac:dyDescent="0.3"/>
    <row r="31" spans="3:13" ht="15.75" x14ac:dyDescent="0.25">
      <c r="C31" s="167" t="s">
        <v>121</v>
      </c>
      <c r="D31" s="163"/>
      <c r="E31" s="163"/>
      <c r="F31" s="163"/>
      <c r="G31" s="163"/>
      <c r="H31" s="163"/>
      <c r="I31" s="163"/>
      <c r="J31" s="163"/>
      <c r="K31" s="163"/>
      <c r="L31" s="163"/>
      <c r="M31" s="129"/>
    </row>
    <row r="32" spans="3:13" x14ac:dyDescent="0.25">
      <c r="C32" s="23"/>
      <c r="M32" s="24"/>
    </row>
    <row r="33" spans="3:13" ht="18" x14ac:dyDescent="0.35">
      <c r="C33" s="151" t="s">
        <v>3</v>
      </c>
      <c r="D33" s="127" t="s">
        <v>63</v>
      </c>
      <c r="E33" s="127" t="s">
        <v>133</v>
      </c>
      <c r="F33" s="127" t="s">
        <v>131</v>
      </c>
      <c r="G33" s="127" t="s">
        <v>102</v>
      </c>
      <c r="H33" s="127"/>
      <c r="M33" s="24"/>
    </row>
    <row r="34" spans="3:13" x14ac:dyDescent="0.25">
      <c r="C34" s="23">
        <v>1</v>
      </c>
      <c r="D34" s="20" t="str">
        <f>IF(Loads!C24&lt;&gt;"", D8, "")</f>
        <v>CHS 193.7x6</v>
      </c>
      <c r="E34" s="6">
        <f>IF(Loads!C24&lt;&gt;"", G108+(F108-E108), "")</f>
        <v>677.2</v>
      </c>
      <c r="F34" s="6">
        <f>IF(Loads!C24&lt;&gt;"", I121+L108, "")</f>
        <v>1237.7122072011437</v>
      </c>
      <c r="G34" s="6">
        <f>IF(Loads!C24&lt;&gt;"", F34/E34, "")</f>
        <v>1.8276907962214171</v>
      </c>
      <c r="H34" s="5"/>
      <c r="M34" s="24"/>
    </row>
    <row r="35" spans="3:13" x14ac:dyDescent="0.25">
      <c r="C35" s="23">
        <v>2</v>
      </c>
      <c r="D35" s="20" t="str">
        <f>IF(Loads!C25&lt;&gt;"", D9, "")</f>
        <v>CHS 193.7x6</v>
      </c>
      <c r="E35" s="6">
        <f>IF(Loads!C25&lt;&gt;"", G109+(F109-E109), "")</f>
        <v>591.4</v>
      </c>
      <c r="F35" s="6">
        <f>IF(Loads!C25&lt;&gt;"", I122+L109, "")</f>
        <v>1237.7122072011437</v>
      </c>
      <c r="G35" s="6">
        <f>IF(Loads!C25&lt;&gt;"", F35/E35, "")</f>
        <v>2.0928512127175241</v>
      </c>
      <c r="H35" s="9">
        <f>IF(Loads!C25&lt;&gt;"", G35/G34, "")</f>
        <v>1.1450794724382822</v>
      </c>
      <c r="I35" s="2" t="str">
        <f>IF(Loads!C25&lt;&gt;"", IF(AND(H35&gt;=0.7, H35&lt;=1.3),"OK!","NG!"), "")</f>
        <v>OK!</v>
      </c>
      <c r="J35" t="s">
        <v>132</v>
      </c>
      <c r="M35" s="24"/>
    </row>
    <row r="36" spans="3:13" x14ac:dyDescent="0.25">
      <c r="C36" s="23">
        <v>3</v>
      </c>
      <c r="D36" s="20" t="str">
        <f>IF(Loads!C26&lt;&gt;"", D10, "")</f>
        <v>CHS 177.8x6.3</v>
      </c>
      <c r="E36" s="6">
        <f>IF(Loads!C26&lt;&gt;"", G110+(F110-E110), "")</f>
        <v>544.20000000000005</v>
      </c>
      <c r="F36" s="6">
        <f>IF(Loads!C26&lt;&gt;"", I123+L110, "")</f>
        <v>1097.1394421472569</v>
      </c>
      <c r="G36" s="6">
        <f>IF(Loads!C26&lt;&gt;"", F36/E36, "")</f>
        <v>2.0160592468711078</v>
      </c>
      <c r="H36" s="9">
        <f>IF(Loads!C26&lt;&gt;"", G36/G35, "")</f>
        <v>0.96330748914219111</v>
      </c>
      <c r="I36" s="2" t="str">
        <f>IF(Loads!C26&lt;&gt;"", IF(AND(H36&gt;=0.7, H36&lt;=1.3),"OK!","NG!"), "")</f>
        <v>OK!</v>
      </c>
      <c r="M36" s="24"/>
    </row>
    <row r="37" spans="3:13" x14ac:dyDescent="0.25">
      <c r="C37" s="23">
        <v>4</v>
      </c>
      <c r="D37" s="20" t="str">
        <f>IF(Loads!C27&lt;&gt;"", D11, "")</f>
        <v>CHS 168.3x6</v>
      </c>
      <c r="E37" s="6">
        <f>IF(Loads!C27&lt;&gt;"", G111+(F111-E111), "")</f>
        <v>461.2</v>
      </c>
      <c r="F37" s="6">
        <f>IF(Loads!C27&lt;&gt;"", I124+L111, "")</f>
        <v>1014.5741651462288</v>
      </c>
      <c r="G37" s="6">
        <f>IF(Loads!C27&lt;&gt;"", F37/E37, "")</f>
        <v>2.1998572531357952</v>
      </c>
      <c r="H37" s="9">
        <f>IF(Loads!C27&lt;&gt;"", G37/G36, "")</f>
        <v>1.0911669667198218</v>
      </c>
      <c r="I37" s="2" t="str">
        <f>IF(Loads!C27&lt;&gt;"", IF(AND(H37&gt;=0.7, H37&lt;=1.3),"OK!","NG!"), "")</f>
        <v>OK!</v>
      </c>
      <c r="M37" s="24"/>
    </row>
    <row r="38" spans="3:13" x14ac:dyDescent="0.25">
      <c r="C38" s="23">
        <v>5</v>
      </c>
      <c r="D38" s="20" t="str">
        <f>IF(Loads!C28&lt;&gt;"", D12, "")</f>
        <v>CHS 139.7x6.3</v>
      </c>
      <c r="E38" s="6">
        <f>IF(Loads!C28&lt;&gt;"", G112+(F112-E112), "")</f>
        <v>319</v>
      </c>
      <c r="F38" s="6">
        <f>IF(Loads!C28&lt;&gt;"", I125+L112, "")</f>
        <v>814.73746134559838</v>
      </c>
      <c r="G38" s="6">
        <f>IF(Loads!C28&lt;&gt;"", F38/E38, "")</f>
        <v>2.5540359289830672</v>
      </c>
      <c r="H38" s="9">
        <f>IF(Loads!C28&lt;&gt;"", G38/G37, "")</f>
        <v>1.1610007537272733</v>
      </c>
      <c r="I38" s="2" t="str">
        <f>IF(Loads!C28&lt;&gt;"", IF(AND(H38&gt;=0.7, H38&lt;=1.3),"OK!","NG!"), "")</f>
        <v>OK!</v>
      </c>
      <c r="M38" s="24"/>
    </row>
    <row r="39" spans="3:13" x14ac:dyDescent="0.25">
      <c r="C39" s="23">
        <v>6</v>
      </c>
      <c r="D39" s="20" t="str">
        <f>IF(Loads!C29&lt;&gt;"", D13, "")</f>
        <v>CHS 177.8x6.3</v>
      </c>
      <c r="E39" s="6">
        <f>IF(Loads!C29&lt;&gt;"", G113+(F113-E113), "")</f>
        <v>183.48</v>
      </c>
      <c r="F39" s="6">
        <f>IF(Loads!C29&lt;&gt;"", I126+L113, "")</f>
        <v>1097.1394421472569</v>
      </c>
      <c r="G39" s="6">
        <f>IF(Loads!C29&lt;&gt;"", F39/E39, "")</f>
        <v>5.9796132665536135</v>
      </c>
      <c r="H39" s="9">
        <f>IF(Loads!C29&lt;&gt;"", G39/G38, "")</f>
        <v>2.3412408567543128</v>
      </c>
      <c r="I39" s="2" t="str">
        <f>IF(Loads!C29&lt;&gt;"", IF(AND(H39&gt;=0.7, H39&lt;=1.3),"OK!","NG!"), "")</f>
        <v>NG!</v>
      </c>
      <c r="M39" s="24"/>
    </row>
    <row r="40" spans="3:13" x14ac:dyDescent="0.25">
      <c r="C40" s="23">
        <v>7</v>
      </c>
      <c r="D40" s="20" t="str">
        <f>IF(Loads!C30&lt;&gt;"", D14, "")</f>
        <v/>
      </c>
      <c r="E40" s="6" t="str">
        <f>IF(Loads!C30&lt;&gt;"", G114+(F114-E114), "")</f>
        <v/>
      </c>
      <c r="F40" s="6" t="str">
        <f>IF(Loads!C30&lt;&gt;"", I127+L114, "")</f>
        <v/>
      </c>
      <c r="G40" s="6" t="str">
        <f>IF(Loads!C30&lt;&gt;"", F40/E40, "")</f>
        <v/>
      </c>
      <c r="H40" s="9" t="str">
        <f>IF(Loads!C30&lt;&gt;"", G40/G39, "")</f>
        <v/>
      </c>
      <c r="I40" s="2" t="str">
        <f>IF(Loads!C30&lt;&gt;"", IF(AND(H40&gt;=0.7, H40&lt;=1.3),"OK!","NG!"), "")</f>
        <v/>
      </c>
      <c r="M40" s="24"/>
    </row>
    <row r="41" spans="3:13" x14ac:dyDescent="0.25">
      <c r="C41" s="23">
        <v>8</v>
      </c>
      <c r="D41" s="20" t="str">
        <f>IF(Loads!C31&lt;&gt;"", D15, "")</f>
        <v/>
      </c>
      <c r="E41" s="6" t="str">
        <f>IF(Loads!C31&lt;&gt;"", G115+(F115-E115), "")</f>
        <v/>
      </c>
      <c r="F41" s="6" t="str">
        <f>IF(Loads!C31&lt;&gt;"", I128+L115, "")</f>
        <v/>
      </c>
      <c r="G41" s="6" t="str">
        <f>IF(Loads!C31&lt;&gt;"", F41/E41, "")</f>
        <v/>
      </c>
      <c r="H41" s="9" t="str">
        <f>IF(Loads!C31&lt;&gt;"", G41/G40, "")</f>
        <v/>
      </c>
      <c r="I41" s="2" t="str">
        <f>IF(Loads!C31&lt;&gt;"", IF(AND(H41&gt;=0.7, H41&lt;=1.3),"OK!","NG!"), "")</f>
        <v/>
      </c>
      <c r="M41" s="24"/>
    </row>
    <row r="42" spans="3:13" ht="15.75" thickBot="1" x14ac:dyDescent="0.3">
      <c r="C42" s="27">
        <v>9</v>
      </c>
      <c r="D42" s="154" t="str">
        <f>IF(Loads!C32&lt;&gt;"", D16, "")</f>
        <v/>
      </c>
      <c r="E42" s="82" t="str">
        <f>IF(Loads!C32&lt;&gt;"", G116+(F116-E116), "")</f>
        <v/>
      </c>
      <c r="F42" s="82" t="str">
        <f>IF(Loads!C32&lt;&gt;"", I129+L116, "")</f>
        <v/>
      </c>
      <c r="G42" s="82" t="str">
        <f>IF(Loads!C32&lt;&gt;"", F42/E42, "")</f>
        <v/>
      </c>
      <c r="H42" s="28" t="str">
        <f>IF(Loads!C32&lt;&gt;"", G42/G41, "")</f>
        <v/>
      </c>
      <c r="I42" s="64" t="str">
        <f>IF(Loads!C32&lt;&gt;"", IF(AND(H42&gt;=0.7, H42&lt;=1.3),"OK!","NG!"), "")</f>
        <v/>
      </c>
      <c r="J42" s="29"/>
      <c r="K42" s="29"/>
      <c r="L42" s="29"/>
      <c r="M42" s="30"/>
    </row>
    <row r="43" spans="3:13" ht="15.75" thickBot="1" x14ac:dyDescent="0.3"/>
    <row r="44" spans="3:13" ht="15.75" x14ac:dyDescent="0.25">
      <c r="C44" s="167" t="s">
        <v>256</v>
      </c>
      <c r="D44" s="163"/>
      <c r="E44" s="163"/>
      <c r="F44" s="163"/>
      <c r="G44" s="163"/>
      <c r="H44" s="163"/>
      <c r="I44" s="163"/>
      <c r="J44" s="163"/>
      <c r="K44" s="163"/>
      <c r="L44" s="129"/>
    </row>
    <row r="45" spans="3:13" x14ac:dyDescent="0.25">
      <c r="C45" s="23" t="s">
        <v>257</v>
      </c>
      <c r="D45" s="6">
        <f>MAX(Loads!C58,D119* 'Cross Sections and Materials'!Q9)</f>
        <v>3.8217578063084487</v>
      </c>
      <c r="L45" s="24"/>
    </row>
    <row r="46" spans="3:13" x14ac:dyDescent="0.25">
      <c r="C46" s="151" t="s">
        <v>3</v>
      </c>
      <c r="D46" s="127" t="s">
        <v>48</v>
      </c>
      <c r="E46" s="127" t="s">
        <v>51</v>
      </c>
      <c r="F46" s="127" t="s">
        <v>52</v>
      </c>
      <c r="G46" s="127" t="s">
        <v>53</v>
      </c>
      <c r="H46" s="127" t="s">
        <v>285</v>
      </c>
      <c r="I46" s="127" t="s">
        <v>54</v>
      </c>
      <c r="J46" s="127" t="s">
        <v>55</v>
      </c>
      <c r="K46" s="127" t="s">
        <v>49</v>
      </c>
      <c r="L46" s="24"/>
    </row>
    <row r="47" spans="3:13" x14ac:dyDescent="0.25">
      <c r="C47" s="23">
        <v>1</v>
      </c>
      <c r="D47" s="5">
        <f>IF(Loads!C24&lt;&gt;"", E8, "")</f>
        <v>350</v>
      </c>
      <c r="E47" s="206">
        <v>0.47470000000000001</v>
      </c>
      <c r="F47">
        <v>0</v>
      </c>
      <c r="G47" s="5">
        <f>IF(Loads!C24&lt;&gt;"", E47-F47, "")</f>
        <v>0.47470000000000001</v>
      </c>
      <c r="H47" s="6">
        <f>IF(Loads!C24&lt;&gt;"", G47*Loads!$C$60, "")</f>
        <v>1.5038496000000001</v>
      </c>
      <c r="I47" s="5">
        <f>IF(Loads!C24&lt;&gt;"", SUM(Loads!F40:$F$42), "")</f>
        <v>3175.2000000000003</v>
      </c>
      <c r="J47" s="6">
        <f>IF(Loads!C24&lt;&gt;"", SUM(Loads!J40:$J$42), "")</f>
        <v>170.96160150912237</v>
      </c>
      <c r="K47" s="9">
        <f>IF(Loads!C24&lt;&gt;"", I47*H47/(Loads!$C$57*$D$45*CBF_Seismic_Design_Verification!J47*CBF_Seismic_Design_Verification!D47), "")</f>
        <v>1.8982483112779371E-2</v>
      </c>
      <c r="L47" s="43" t="str">
        <f>IF(Loads!C24&lt;&gt;"", IF(K47&lt;0.1,"OK!",IF(K47&lt;0.2,"OK…","NG!")), "")</f>
        <v>OK!</v>
      </c>
    </row>
    <row r="48" spans="3:13" x14ac:dyDescent="0.25">
      <c r="C48" s="23">
        <v>2</v>
      </c>
      <c r="D48" s="5">
        <f>IF(Loads!C25&lt;&gt;"", E9, "")</f>
        <v>350</v>
      </c>
      <c r="E48" s="206">
        <v>0.98419999999999996</v>
      </c>
      <c r="F48" s="5">
        <f>IF(Loads!C25&lt;&gt;"", E47, "")</f>
        <v>0.47470000000000001</v>
      </c>
      <c r="G48" s="5">
        <f>IF(Loads!C25&lt;&gt;"", E48-F48, "")</f>
        <v>0.50949999999999995</v>
      </c>
      <c r="H48" s="6">
        <f>IF(Loads!C25&lt;&gt;"", G48*Loads!$C$60, "")</f>
        <v>1.614096</v>
      </c>
      <c r="I48" s="5">
        <f>IF(Loads!C25&lt;&gt;"", SUM(Loads!F41:$F$42), "")</f>
        <v>2116.8000000000002</v>
      </c>
      <c r="J48" s="6">
        <f>IF(Loads!C25&lt;&gt;"", SUM(Loads!J41:$J$42), "")</f>
        <v>142.46800125760197</v>
      </c>
      <c r="K48" s="9">
        <f>IF(Loads!C25&lt;&gt;"", I48*H48/(Loads!$C$57*$D$45*CBF_Seismic_Design_Verification!J48*CBF_Seismic_Design_Verification!D48), "")</f>
        <v>1.6299262938211233E-2</v>
      </c>
      <c r="L48" s="43" t="str">
        <f>IF(Loads!C25&lt;&gt;"", IF(K48&lt;0.1,"OK!",IF(K48&lt;0.2,"OK…","NG!")), "")</f>
        <v>OK!</v>
      </c>
    </row>
    <row r="49" spans="3:12" x14ac:dyDescent="0.25">
      <c r="C49" s="23">
        <v>3</v>
      </c>
      <c r="D49" s="5">
        <f>IF(Loads!C26&lt;&gt;"", E10, "")</f>
        <v>350</v>
      </c>
      <c r="E49" s="206">
        <v>1.5044999999999999</v>
      </c>
      <c r="F49" s="5">
        <f>IF(Loads!C26&lt;&gt;"", E48, "")</f>
        <v>0.98419999999999996</v>
      </c>
      <c r="G49" s="5">
        <f>IF(Loads!C26&lt;&gt;"", E49-F49, "")</f>
        <v>0.52029999999999998</v>
      </c>
      <c r="H49" s="6">
        <f>IF(Loads!C26&lt;&gt;"", G49*Loads!$C$60, "")</f>
        <v>1.6483104</v>
      </c>
      <c r="I49" s="5">
        <f>IF(Loads!C26&lt;&gt;"", SUM(Loads!F42:$F$42), "")</f>
        <v>1058.4000000000001</v>
      </c>
      <c r="J49" s="6">
        <f>IF(Loads!C26&lt;&gt;"", SUM(Loads!J42:$J$42), "")</f>
        <v>85.480800754561173</v>
      </c>
      <c r="K49" s="9">
        <f>IF(Loads!C26&lt;&gt;"", I49*H49/(Loads!$C$57*$D$45*CBF_Seismic_Design_Verification!J49*CBF_Seismic_Design_Verification!D49), "")</f>
        <v>1.3870635437931478E-2</v>
      </c>
      <c r="L49" s="43" t="str">
        <f>IF(Loads!C26&lt;&gt;"", IF(K49&lt;0.1,"OK!",IF(K49&lt;0.2,"OK…","NG!")), "")</f>
        <v>OK!</v>
      </c>
    </row>
    <row r="50" spans="3:12" x14ac:dyDescent="0.25">
      <c r="C50" s="23">
        <v>4</v>
      </c>
      <c r="D50" s="5">
        <f>IF(Loads!C27&lt;&gt;"", E11, "")</f>
        <v>350</v>
      </c>
      <c r="E50" s="206">
        <v>1.9850000000000001</v>
      </c>
      <c r="F50" s="5">
        <f>IF(Loads!C27&lt;&gt;"", E49, "")</f>
        <v>1.5044999999999999</v>
      </c>
      <c r="G50" s="5">
        <f>IF(Loads!C27&lt;&gt;"", E50-F50, "")</f>
        <v>0.48050000000000015</v>
      </c>
      <c r="H50" s="6">
        <f>IF(Loads!C27&lt;&gt;"", G50*Loads!$C$60, "")</f>
        <v>1.5222240000000005</v>
      </c>
      <c r="I50" s="5">
        <f>IF(Loads!C27&lt;&gt;"", SUM(Loads!F$42:$F43), "")</f>
        <v>2116.8000000000002</v>
      </c>
      <c r="J50" s="6">
        <f>IF(Loads!C27&lt;&gt;"", SUM(Loads!J$42:$J43), "")</f>
        <v>199.45520176064275</v>
      </c>
      <c r="K50" s="9">
        <f>IF(Loads!C27&lt;&gt;"", I50*H50/(Loads!$C$57*$D$45*CBF_Seismic_Design_Verification!J50*CBF_Seismic_Design_Verification!D50), "")</f>
        <v>1.0979666117777233E-2</v>
      </c>
      <c r="L50" s="43" t="str">
        <f>IF(Loads!C27&lt;&gt;"", IF(K50&lt;0.1,"OK!",IF(K50&lt;0.2,"OK…","NG!")), "")</f>
        <v>OK!</v>
      </c>
    </row>
    <row r="51" spans="3:12" x14ac:dyDescent="0.25">
      <c r="C51" s="23">
        <v>5</v>
      </c>
      <c r="D51" s="5">
        <f>IF(Loads!C28&lt;&gt;"", E12, "")</f>
        <v>350</v>
      </c>
      <c r="E51" s="206">
        <v>2.5249999999999999</v>
      </c>
      <c r="F51" s="5">
        <f>IF(Loads!C28&lt;&gt;"", E50, "")</f>
        <v>1.9850000000000001</v>
      </c>
      <c r="G51" s="5">
        <f>IF(Loads!C28&lt;&gt;"", E51-F51, "")</f>
        <v>0.53999999999999981</v>
      </c>
      <c r="H51" s="6">
        <f>IF(Loads!C28&lt;&gt;"", G51*Loads!$C$60, "")</f>
        <v>1.7107199999999996</v>
      </c>
      <c r="I51" s="5">
        <f>IF(Loads!C28&lt;&gt;"", SUM(Loads!F$42:$F44), "")</f>
        <v>3175.2000000000003</v>
      </c>
      <c r="J51" s="6">
        <f>IF(Loads!C28&lt;&gt;"", SUM(Loads!J$42:$J44), "")</f>
        <v>341.92320301824475</v>
      </c>
      <c r="K51" s="9">
        <f>IF(Loads!C28&lt;&gt;"", I51*H51/(Loads!$C$57*$D$45*CBF_Seismic_Design_Verification!J51*CBF_Seismic_Design_Verification!D51), "")</f>
        <v>1.0796862103329322E-2</v>
      </c>
      <c r="L51" s="43" t="str">
        <f>IF(Loads!C28&lt;&gt;"", IF(K51&lt;0.1,"OK!",IF(K51&lt;0.2,"OK…","NG!")), "")</f>
        <v>OK!</v>
      </c>
    </row>
    <row r="52" spans="3:12" x14ac:dyDescent="0.25">
      <c r="C52" s="23">
        <v>6</v>
      </c>
      <c r="D52" s="5">
        <f>IF(Loads!C29&lt;&gt;"", E13, "")</f>
        <v>350</v>
      </c>
      <c r="E52" s="206">
        <v>2.6320000000000001</v>
      </c>
      <c r="F52" s="5">
        <f>IF(Loads!C29&lt;&gt;"", E51, "")</f>
        <v>2.5249999999999999</v>
      </c>
      <c r="G52" s="5">
        <f>IF(Loads!C29&lt;&gt;"", E52-F52, "")</f>
        <v>0.10700000000000021</v>
      </c>
      <c r="H52" s="6">
        <f>IF(Loads!C29&lt;&gt;"", G52*Loads!$C$60, "")</f>
        <v>0.33897600000000067</v>
      </c>
      <c r="I52" s="5">
        <f>IF(Loads!C29&lt;&gt;"", SUM(Loads!F$42:$F45), "")</f>
        <v>4120.2000000000007</v>
      </c>
      <c r="J52" s="6">
        <f>IF(Loads!C29&lt;&gt;"", SUM(Loads!J$42:$J45), "")</f>
        <v>494.56749007996109</v>
      </c>
      <c r="K52" s="9">
        <f>IF(Loads!C29&lt;&gt;"", I52*H52/(Loads!$C$57*$D$45*CBF_Seismic_Design_Verification!J52*CBF_Seismic_Design_Verification!D52), "")</f>
        <v>1.9192775904759974E-3</v>
      </c>
      <c r="L52" s="43" t="str">
        <f>IF(Loads!C29&lt;&gt;"", IF(K52&lt;0.1,"OK!",IF(K52&lt;0.2,"OK…","NG!")), "")</f>
        <v>OK!</v>
      </c>
    </row>
    <row r="53" spans="3:12" x14ac:dyDescent="0.25">
      <c r="C53" s="23">
        <v>7</v>
      </c>
      <c r="D53" s="5" t="str">
        <f>IF(Loads!C30&lt;&gt;"", E14, "")</f>
        <v/>
      </c>
      <c r="E53" s="106"/>
      <c r="F53" s="5" t="str">
        <f>IF(Loads!C30&lt;&gt;"", E52, "")</f>
        <v/>
      </c>
      <c r="G53" s="5" t="str">
        <f>IF(Loads!C30&lt;&gt;"", E53-F53, "")</f>
        <v/>
      </c>
      <c r="H53" s="6" t="str">
        <f>IF(Loads!C30&lt;&gt;"", G53*Loads!$C$60, "")</f>
        <v/>
      </c>
      <c r="I53" s="5" t="str">
        <f>IF(Loads!C30&lt;&gt;"", SUM(Loads!F$42:$F46), "")</f>
        <v/>
      </c>
      <c r="J53" s="6" t="str">
        <f>IF(Loads!C30&lt;&gt;"", SUM(Loads!J$42:$J46), "")</f>
        <v/>
      </c>
      <c r="K53" s="9" t="str">
        <f>IF(Loads!C30&lt;&gt;"", I53*H53/(Loads!$C$57*$D$45*CBF_Seismic_Design_Verification!J53*CBF_Seismic_Design_Verification!D53), "")</f>
        <v/>
      </c>
      <c r="L53" s="43" t="str">
        <f>IF(Loads!C30&lt;&gt;"", IF(K53&lt;0.1,"OK!",IF(K53&lt;0.2,"OK…","NG!")), "")</f>
        <v/>
      </c>
    </row>
    <row r="54" spans="3:12" x14ac:dyDescent="0.25">
      <c r="C54" s="23">
        <v>8</v>
      </c>
      <c r="D54" s="5" t="str">
        <f>IF(Loads!C31&lt;&gt;"", E15, "")</f>
        <v/>
      </c>
      <c r="E54" s="106"/>
      <c r="F54" s="5" t="str">
        <f>IF(Loads!C31&lt;&gt;"", E53, "")</f>
        <v/>
      </c>
      <c r="G54" s="5" t="str">
        <f>IF(Loads!C31&lt;&gt;"", E54-F54, "")</f>
        <v/>
      </c>
      <c r="H54" s="6" t="str">
        <f>IF(Loads!C31&lt;&gt;"", G54*Loads!$C$60, "")</f>
        <v/>
      </c>
      <c r="I54" s="5" t="str">
        <f>IF(Loads!C31&lt;&gt;"", SUM(Loads!F$42:$F47), "")</f>
        <v/>
      </c>
      <c r="J54" s="6" t="str">
        <f>IF(Loads!C31&lt;&gt;"", SUM(Loads!J$42:$J47), "")</f>
        <v/>
      </c>
      <c r="K54" s="9" t="str">
        <f>IF(Loads!C31&lt;&gt;"", I54*H54/(Loads!$C$57*$D$45*CBF_Seismic_Design_Verification!J54*CBF_Seismic_Design_Verification!D54), "")</f>
        <v/>
      </c>
      <c r="L54" s="43" t="str">
        <f>IF(Loads!C31&lt;&gt;"", IF(K54&lt;0.1,"OK!",IF(K54&lt;0.2,"OK…","NG!")), "")</f>
        <v/>
      </c>
    </row>
    <row r="55" spans="3:12" ht="15.75" thickBot="1" x14ac:dyDescent="0.3">
      <c r="C55" s="27">
        <v>9</v>
      </c>
      <c r="D55" s="38" t="str">
        <f>IF(Loads!C32&lt;&gt;"", E16, "")</f>
        <v/>
      </c>
      <c r="E55" s="178"/>
      <c r="F55" s="38" t="str">
        <f>IF(Loads!C32&lt;&gt;"", E54, "")</f>
        <v/>
      </c>
      <c r="G55" s="38" t="str">
        <f>IF(Loads!C32&lt;&gt;"", E55-F55, "")</f>
        <v/>
      </c>
      <c r="H55" s="82" t="str">
        <f>IF(Loads!C32&lt;&gt;"", G55*Loads!$C$60, "")</f>
        <v/>
      </c>
      <c r="I55" s="38" t="str">
        <f>IF(Loads!C32&lt;&gt;"", SUM(Loads!F$42:$F48), "")</f>
        <v/>
      </c>
      <c r="J55" s="82" t="str">
        <f>IF(Loads!C32&lt;&gt;"", SUM(Loads!J$42:$J48), "")</f>
        <v/>
      </c>
      <c r="K55" s="28" t="str">
        <f>IF(Loads!C32&lt;&gt;"", I55*H55/(Loads!$C$57*$D$45*CBF_Seismic_Design_Verification!J55*CBF_Seismic_Design_Verification!D55), "")</f>
        <v/>
      </c>
      <c r="L55" s="56" t="str">
        <f>IF(Loads!C32&lt;&gt;"", IF(K55&lt;0.1,"OK!",IF(K55&lt;0.2,"OK…","NG!")), "")</f>
        <v/>
      </c>
    </row>
    <row r="56" spans="3:12" ht="15.75" thickBot="1" x14ac:dyDescent="0.3"/>
    <row r="57" spans="3:12" ht="15.75" x14ac:dyDescent="0.25">
      <c r="C57" s="167" t="s">
        <v>56</v>
      </c>
      <c r="D57" s="163"/>
      <c r="E57" s="163"/>
      <c r="F57" s="163"/>
      <c r="G57" s="163"/>
      <c r="H57" s="163"/>
      <c r="I57" s="163"/>
      <c r="J57" s="163"/>
      <c r="K57" s="129"/>
    </row>
    <row r="58" spans="3:12" ht="18" x14ac:dyDescent="0.35">
      <c r="C58" s="25" t="s">
        <v>57</v>
      </c>
      <c r="D58" s="4">
        <v>1.4999999999999999E-2</v>
      </c>
      <c r="K58" s="24"/>
    </row>
    <row r="59" spans="3:12" ht="18" x14ac:dyDescent="0.35">
      <c r="C59" s="151" t="s">
        <v>3</v>
      </c>
      <c r="D59" s="127" t="s">
        <v>48</v>
      </c>
      <c r="E59" s="127" t="s">
        <v>51</v>
      </c>
      <c r="F59" s="127" t="s">
        <v>52</v>
      </c>
      <c r="G59" s="127" t="s">
        <v>53</v>
      </c>
      <c r="H59" s="127" t="s">
        <v>59</v>
      </c>
      <c r="I59" s="127" t="s">
        <v>58</v>
      </c>
      <c r="J59" s="127" t="s">
        <v>67</v>
      </c>
      <c r="K59" s="24"/>
    </row>
    <row r="60" spans="3:12" x14ac:dyDescent="0.25">
      <c r="C60" s="23">
        <v>1</v>
      </c>
      <c r="D60" s="5">
        <f>IF(Loads!C24&lt;&gt;"", D47, "")</f>
        <v>350</v>
      </c>
      <c r="E60" s="5">
        <f>IF(Loads!C24&lt;&gt;"", E47, "")</f>
        <v>0.47470000000000001</v>
      </c>
      <c r="F60">
        <v>0</v>
      </c>
      <c r="G60" s="5">
        <f>IF(Loads!C24&lt;&gt;"", E60-F60, "")</f>
        <v>0.47470000000000001</v>
      </c>
      <c r="H60" s="5">
        <f>IF(Loads!C24&lt;&gt;"", G60*Loads!$C$60, "")</f>
        <v>1.5038496000000001</v>
      </c>
      <c r="I60" s="5">
        <f>IF(Loads!C24&lt;&gt;"", $D$58*D60, "")</f>
        <v>5.25</v>
      </c>
      <c r="J60" s="9">
        <f>IF(Loads!C24&lt;&gt;"", H60/I60, "")</f>
        <v>0.28644754285714286</v>
      </c>
      <c r="K60" s="43" t="str">
        <f>IF(Loads!C24&lt;&gt;"", IF(J60&lt;1,"OK!","NG!"), "")</f>
        <v>OK!</v>
      </c>
    </row>
    <row r="61" spans="3:12" x14ac:dyDescent="0.25">
      <c r="C61" s="23">
        <v>2</v>
      </c>
      <c r="D61" s="5">
        <f>IF(Loads!C25&lt;&gt;"", D48, "")</f>
        <v>350</v>
      </c>
      <c r="E61" s="5">
        <f>IF(Loads!C25&lt;&gt;"", E48, "")</f>
        <v>0.98419999999999996</v>
      </c>
      <c r="F61" s="5">
        <f>IF(Loads!C25&lt;&gt;"", E60, "")</f>
        <v>0.47470000000000001</v>
      </c>
      <c r="G61" s="5">
        <f>IF(Loads!C25&lt;&gt;"", E61-F61, "")</f>
        <v>0.50949999999999995</v>
      </c>
      <c r="H61" s="5">
        <f>IF(Loads!C25&lt;&gt;"", G61*Loads!$C$60, "")</f>
        <v>1.614096</v>
      </c>
      <c r="I61" s="5">
        <f>IF(Loads!C25&lt;&gt;"", $D$58*D61, "")</f>
        <v>5.25</v>
      </c>
      <c r="J61" s="9">
        <f>IF(Loads!C25&lt;&gt;"", H61/I61, "")</f>
        <v>0.30744685714285713</v>
      </c>
      <c r="K61" s="43" t="str">
        <f>IF(Loads!C25&lt;&gt;"", IF(J61&lt;1,"OK!","NG!"), "")</f>
        <v>OK!</v>
      </c>
    </row>
    <row r="62" spans="3:12" x14ac:dyDescent="0.25">
      <c r="C62" s="23">
        <v>3</v>
      </c>
      <c r="D62" s="5">
        <f>IF(Loads!C26&lt;&gt;"", D49, "")</f>
        <v>350</v>
      </c>
      <c r="E62" s="5">
        <f>IF(Loads!C26&lt;&gt;"", E49, "")</f>
        <v>1.5044999999999999</v>
      </c>
      <c r="F62" s="5">
        <f>IF(Loads!C26&lt;&gt;"", E61, "")</f>
        <v>0.98419999999999996</v>
      </c>
      <c r="G62" s="5">
        <f>IF(Loads!C26&lt;&gt;"", E62-F62, "")</f>
        <v>0.52029999999999998</v>
      </c>
      <c r="H62" s="5">
        <f>IF(Loads!C26&lt;&gt;"", G62*Loads!$C$60, "")</f>
        <v>1.6483104</v>
      </c>
      <c r="I62" s="5">
        <f>IF(Loads!C26&lt;&gt;"", $D$58*D62, "")</f>
        <v>5.25</v>
      </c>
      <c r="J62" s="9">
        <f>IF(Loads!C26&lt;&gt;"", H62/I62, "")</f>
        <v>0.31396388571428568</v>
      </c>
      <c r="K62" s="43" t="str">
        <f>IF(Loads!C26&lt;&gt;"", IF(J62&lt;1,"OK!","NG!"), "")</f>
        <v>OK!</v>
      </c>
    </row>
    <row r="63" spans="3:12" x14ac:dyDescent="0.25">
      <c r="C63" s="23">
        <v>4</v>
      </c>
      <c r="D63" s="5">
        <f>IF(Loads!C27&lt;&gt;"", D50, "")</f>
        <v>350</v>
      </c>
      <c r="E63" s="5">
        <f>IF(Loads!C27&lt;&gt;"", E50, "")</f>
        <v>1.9850000000000001</v>
      </c>
      <c r="F63" s="5">
        <f>IF(Loads!C27&lt;&gt;"", E62, "")</f>
        <v>1.5044999999999999</v>
      </c>
      <c r="G63" s="5">
        <f>IF(Loads!C27&lt;&gt;"", E63-F63, "")</f>
        <v>0.48050000000000015</v>
      </c>
      <c r="H63" s="5">
        <f>IF(Loads!C27&lt;&gt;"", G63*Loads!$C$60, "")</f>
        <v>1.5222240000000005</v>
      </c>
      <c r="I63" s="5">
        <f>IF(Loads!C27&lt;&gt;"", $D$58*D63, "")</f>
        <v>5.25</v>
      </c>
      <c r="J63" s="9">
        <f>IF(Loads!C27&lt;&gt;"", H63/I63, "")</f>
        <v>0.28994742857142863</v>
      </c>
      <c r="K63" s="43" t="str">
        <f>IF(Loads!C27&lt;&gt;"", IF(J63&lt;1,"OK!","NG!"), "")</f>
        <v>OK!</v>
      </c>
    </row>
    <row r="64" spans="3:12" x14ac:dyDescent="0.25">
      <c r="C64" s="23">
        <v>5</v>
      </c>
      <c r="D64" s="5">
        <f>IF(Loads!C28&lt;&gt;"", D51, "")</f>
        <v>350</v>
      </c>
      <c r="E64" s="5">
        <f>IF(Loads!C28&lt;&gt;"", E51, "")</f>
        <v>2.5249999999999999</v>
      </c>
      <c r="F64" s="5">
        <f>IF(Loads!C28&lt;&gt;"", E63, "")</f>
        <v>1.9850000000000001</v>
      </c>
      <c r="G64" s="5">
        <f>IF(Loads!C28&lt;&gt;"", E64-F64, "")</f>
        <v>0.53999999999999981</v>
      </c>
      <c r="H64" s="5">
        <f>IF(Loads!C28&lt;&gt;"", G64*Loads!$C$60, "")</f>
        <v>1.7107199999999996</v>
      </c>
      <c r="I64" s="5">
        <f>IF(Loads!C28&lt;&gt;"", $D$58*D64, "")</f>
        <v>5.25</v>
      </c>
      <c r="J64" s="9">
        <f>IF(Loads!C28&lt;&gt;"", H64/I64, "")</f>
        <v>0.32585142857142851</v>
      </c>
      <c r="K64" s="43" t="str">
        <f>IF(Loads!C28&lt;&gt;"", IF(J64&lt;1,"OK!","NG!"), "")</f>
        <v>OK!</v>
      </c>
    </row>
    <row r="65" spans="3:11" x14ac:dyDescent="0.25">
      <c r="C65" s="23">
        <v>6</v>
      </c>
      <c r="D65" s="5">
        <f>IF(Loads!C29&lt;&gt;"", D52, "")</f>
        <v>350</v>
      </c>
      <c r="E65" s="5">
        <f>IF(Loads!C29&lt;&gt;"", E52, "")</f>
        <v>2.6320000000000001</v>
      </c>
      <c r="F65" s="5">
        <f>IF(Loads!C29&lt;&gt;"", E64, "")</f>
        <v>2.5249999999999999</v>
      </c>
      <c r="G65" s="5">
        <f>IF(Loads!C29&lt;&gt;"", E65-F65, "")</f>
        <v>0.10700000000000021</v>
      </c>
      <c r="H65" s="5">
        <f>IF(Loads!C29&lt;&gt;"", G65*Loads!$C$60, "")</f>
        <v>0.33897600000000067</v>
      </c>
      <c r="I65" s="5">
        <f>IF(Loads!C29&lt;&gt;"", $D$58*D65, "")</f>
        <v>5.25</v>
      </c>
      <c r="J65" s="9">
        <f>IF(Loads!C29&lt;&gt;"", H65/I65, "")</f>
        <v>6.4566857142857273E-2</v>
      </c>
      <c r="K65" s="43" t="str">
        <f>IF(Loads!C29&lt;&gt;"", IF(J65&lt;1,"OK!","NG!"), "")</f>
        <v>OK!</v>
      </c>
    </row>
    <row r="66" spans="3:11" x14ac:dyDescent="0.25">
      <c r="C66" s="23">
        <v>7</v>
      </c>
      <c r="D66" s="5" t="str">
        <f>IF(Loads!C30&lt;&gt;"", D53, "")</f>
        <v/>
      </c>
      <c r="E66" s="5" t="str">
        <f>IF(Loads!C30&lt;&gt;"", E53, "")</f>
        <v/>
      </c>
      <c r="F66" s="5" t="str">
        <f>IF(Loads!C30&lt;&gt;"", E65, "")</f>
        <v/>
      </c>
      <c r="G66" s="5" t="str">
        <f>IF(Loads!C30&lt;&gt;"", E66-F66, "")</f>
        <v/>
      </c>
      <c r="H66" s="5" t="str">
        <f>IF(Loads!C30&lt;&gt;"", G66*Loads!$C$60, "")</f>
        <v/>
      </c>
      <c r="I66" s="5" t="str">
        <f>IF(Loads!C30&lt;&gt;"", $D$58*D66, "")</f>
        <v/>
      </c>
      <c r="J66" s="9" t="str">
        <f>IF(Loads!C30&lt;&gt;"", H66/I66, "")</f>
        <v/>
      </c>
      <c r="K66" s="43" t="str">
        <f>IF(Loads!C30&lt;&gt;"", IF(J66&lt;1,"OK!","NG!"), "")</f>
        <v/>
      </c>
    </row>
    <row r="67" spans="3:11" x14ac:dyDescent="0.25">
      <c r="C67" s="23">
        <v>8</v>
      </c>
      <c r="D67" s="5" t="str">
        <f>IF(Loads!C31&lt;&gt;"", D54, "")</f>
        <v/>
      </c>
      <c r="E67" s="5" t="str">
        <f>IF(Loads!C31&lt;&gt;"", E54, "")</f>
        <v/>
      </c>
      <c r="F67" s="5" t="str">
        <f>IF(Loads!C31&lt;&gt;"", E66, "")</f>
        <v/>
      </c>
      <c r="G67" s="5" t="str">
        <f>IF(Loads!C31&lt;&gt;"", E67-F67, "")</f>
        <v/>
      </c>
      <c r="H67" s="5" t="str">
        <f>IF(Loads!C31&lt;&gt;"", G67*Loads!$C$60, "")</f>
        <v/>
      </c>
      <c r="I67" s="5" t="str">
        <f>IF(Loads!C31&lt;&gt;"", $D$58*D67, "")</f>
        <v/>
      </c>
      <c r="J67" s="9" t="str">
        <f>IF(Loads!C31&lt;&gt;"", H67/I67, "")</f>
        <v/>
      </c>
      <c r="K67" s="43" t="str">
        <f>IF(Loads!C31&lt;&gt;"", IF(J67&lt;1,"OK!","NG!"), "")</f>
        <v/>
      </c>
    </row>
    <row r="68" spans="3:11" ht="15.75" thickBot="1" x14ac:dyDescent="0.3">
      <c r="C68" s="27">
        <v>9</v>
      </c>
      <c r="D68" s="38" t="str">
        <f>IF(Loads!C32&lt;&gt;"", D55, "")</f>
        <v/>
      </c>
      <c r="E68" s="38" t="str">
        <f>IF(Loads!C32&lt;&gt;"", E55, "")</f>
        <v/>
      </c>
      <c r="F68" s="38" t="str">
        <f>IF(Loads!C32&lt;&gt;"", E67, "")</f>
        <v/>
      </c>
      <c r="G68" s="38" t="str">
        <f>IF(Loads!C32&lt;&gt;"", E68-F68, "")</f>
        <v/>
      </c>
      <c r="H68" s="38" t="str">
        <f>IF(Loads!C32&lt;&gt;"", G68*Loads!$C$60, "")</f>
        <v/>
      </c>
      <c r="I68" s="38" t="str">
        <f>IF(Loads!C32&lt;&gt;"", $D$58*D68, "")</f>
        <v/>
      </c>
      <c r="J68" s="28" t="str">
        <f>IF(Loads!C32&lt;&gt;"", H68/I68, "")</f>
        <v/>
      </c>
      <c r="K68" s="56" t="str">
        <f>IF(Loads!C32&lt;&gt;"", IF(J68&lt;1,"OK!","NG!"), "")</f>
        <v/>
      </c>
    </row>
    <row r="69" spans="3:11" ht="15.75" thickBot="1" x14ac:dyDescent="0.3"/>
    <row r="70" spans="3:11" ht="15.75" x14ac:dyDescent="0.25">
      <c r="C70" s="167" t="s">
        <v>79</v>
      </c>
      <c r="D70" s="163"/>
      <c r="E70" s="163"/>
      <c r="F70" s="163"/>
      <c r="G70" s="163"/>
      <c r="H70" s="129"/>
    </row>
    <row r="71" spans="3:11" ht="15.75" thickBot="1" x14ac:dyDescent="0.3">
      <c r="C71" s="27" t="s">
        <v>78</v>
      </c>
      <c r="D71" s="29"/>
      <c r="E71" s="29"/>
      <c r="F71" s="29"/>
      <c r="G71" s="29"/>
      <c r="H71" s="30"/>
    </row>
    <row r="73" spans="3:11" ht="15.75" x14ac:dyDescent="0.25">
      <c r="C73" s="168" t="s">
        <v>83</v>
      </c>
    </row>
    <row r="74" spans="3:11" ht="15.75" thickBot="1" x14ac:dyDescent="0.3">
      <c r="C74" s="10"/>
    </row>
    <row r="75" spans="3:11" x14ac:dyDescent="0.25">
      <c r="C75" s="182" t="s">
        <v>60</v>
      </c>
      <c r="D75" s="165">
        <f>'Cross Sections and Materials'!Q4</f>
        <v>23.5</v>
      </c>
      <c r="E75" s="129" t="s">
        <v>61</v>
      </c>
    </row>
    <row r="76" spans="3:11" x14ac:dyDescent="0.25">
      <c r="C76" s="23" t="s">
        <v>62</v>
      </c>
      <c r="D76" s="5">
        <f>'Cross Sections and Materials'!Q6</f>
        <v>1</v>
      </c>
      <c r="E76" s="24"/>
    </row>
    <row r="77" spans="3:11" x14ac:dyDescent="0.25">
      <c r="C77" s="23" t="s">
        <v>134</v>
      </c>
      <c r="D77" s="5">
        <f>'Cross Sections and Materials'!Q7</f>
        <v>1.1000000000000001</v>
      </c>
      <c r="E77" s="24"/>
    </row>
    <row r="78" spans="3:11" ht="18.75" thickBot="1" x14ac:dyDescent="0.4">
      <c r="C78" s="183" t="s">
        <v>72</v>
      </c>
      <c r="D78" s="38">
        <f>'Cross Sections and Materials'!Q8</f>
        <v>93.9</v>
      </c>
      <c r="E78" s="30"/>
    </row>
    <row r="79" spans="3:11" ht="15.75" thickBot="1" x14ac:dyDescent="0.3">
      <c r="C79" s="1"/>
      <c r="D79" s="5"/>
    </row>
    <row r="80" spans="3:11" ht="15.75" x14ac:dyDescent="0.25">
      <c r="C80" s="167" t="s">
        <v>84</v>
      </c>
      <c r="D80" s="163"/>
      <c r="E80" s="163"/>
      <c r="F80" s="163"/>
      <c r="G80" s="163"/>
      <c r="H80" s="163"/>
      <c r="I80" s="163"/>
      <c r="J80" s="163"/>
      <c r="K80" s="129"/>
    </row>
    <row r="81" spans="3:13" x14ac:dyDescent="0.25">
      <c r="C81" s="151" t="s">
        <v>3</v>
      </c>
      <c r="D81" s="127" t="s">
        <v>63</v>
      </c>
      <c r="E81" s="127" t="s">
        <v>80</v>
      </c>
      <c r="F81" s="127" t="s">
        <v>81</v>
      </c>
      <c r="G81" s="127" t="s">
        <v>82</v>
      </c>
      <c r="H81" s="127" t="s">
        <v>260</v>
      </c>
      <c r="I81" s="127" t="s">
        <v>261</v>
      </c>
      <c r="J81" s="127" t="s">
        <v>67</v>
      </c>
      <c r="K81" s="43"/>
    </row>
    <row r="82" spans="3:13" x14ac:dyDescent="0.25">
      <c r="C82" s="23">
        <v>1</v>
      </c>
      <c r="D82" s="20" t="str">
        <f>IF(Loads!C24&lt;&gt;"", D8, "")</f>
        <v>CHS 193.7x6</v>
      </c>
      <c r="E82" s="5">
        <f>IF(Loads!C24&lt;&gt;"", 'Cross Sections and Materials'!D13, "")</f>
        <v>193.7</v>
      </c>
      <c r="F82" s="5">
        <f>IF(Loads!C24&lt;&gt;"", 'Cross Sections and Materials'!E13, "")</f>
        <v>6</v>
      </c>
      <c r="G82" s="5">
        <f>IF(Loads!C24&lt;&gt;"", E82/F82, "")</f>
        <v>32.283333333333331</v>
      </c>
      <c r="H82" s="5">
        <f>IF(Loads!C24&lt;&gt;"", 50*SQRT(235/($D$75*10))^2, "")</f>
        <v>50</v>
      </c>
      <c r="I82" s="6">
        <f>IF(Loads!C24&lt;&gt;"", 47.4*SQRT(235/($D$75*10))^2 / 'Cross Sections and Materials'!$Q$9, "")</f>
        <v>32.689655172413794</v>
      </c>
      <c r="J82" s="9">
        <f>IF(Loads!C24&lt;&gt;"", G82/MIN(H82,I82), "")</f>
        <v>0.98757032348804497</v>
      </c>
      <c r="K82" s="43" t="str">
        <f>IF(Loads!C24&lt;&gt;"", IF(J82&lt;1,"OK!","NG!"), "")</f>
        <v>OK!</v>
      </c>
    </row>
    <row r="83" spans="3:13" x14ac:dyDescent="0.25">
      <c r="C83" s="23">
        <v>2</v>
      </c>
      <c r="D83" s="20" t="str">
        <f>IF(Loads!C25&lt;&gt;"", D9, "")</f>
        <v>CHS 193.7x6</v>
      </c>
      <c r="E83" s="5">
        <f>IF(Loads!C25&lt;&gt;"", 'Cross Sections and Materials'!D14, "")</f>
        <v>193.7</v>
      </c>
      <c r="F83" s="5">
        <f>IF(Loads!C25&lt;&gt;"", 'Cross Sections and Materials'!E14, "")</f>
        <v>6</v>
      </c>
      <c r="G83" s="5">
        <f>IF(Loads!C25&lt;&gt;"", E83/F83, "")</f>
        <v>32.283333333333331</v>
      </c>
      <c r="H83" s="5">
        <f>IF(Loads!C25&lt;&gt;"", 50*SQRT(235/($D$75*10))^2, "")</f>
        <v>50</v>
      </c>
      <c r="I83" s="6">
        <f>IF(Loads!C25&lt;&gt;"", 47.4*SQRT(235/($D$75*10))^2 / 'Cross Sections and Materials'!$Q$9, "")</f>
        <v>32.689655172413794</v>
      </c>
      <c r="J83" s="9">
        <f>IF(Loads!C25&lt;&gt;"", G83/MIN(H83,I83), "")</f>
        <v>0.98757032348804497</v>
      </c>
      <c r="K83" s="43" t="str">
        <f>IF(Loads!C25&lt;&gt;"", IF(J83&lt;1,"OK!","NG!"), "")</f>
        <v>OK!</v>
      </c>
    </row>
    <row r="84" spans="3:13" x14ac:dyDescent="0.25">
      <c r="C84" s="23">
        <v>3</v>
      </c>
      <c r="D84" s="20" t="str">
        <f>IF(Loads!C26&lt;&gt;"", D10, "")</f>
        <v>CHS 177.8x6.3</v>
      </c>
      <c r="E84" s="5">
        <f>IF(Loads!C26&lt;&gt;"", 'Cross Sections and Materials'!D15, "")</f>
        <v>177.8</v>
      </c>
      <c r="F84" s="5">
        <f>IF(Loads!C26&lt;&gt;"", 'Cross Sections and Materials'!E15, "")</f>
        <v>6.3</v>
      </c>
      <c r="G84" s="5">
        <f>IF(Loads!C26&lt;&gt;"", E84/F84, "")</f>
        <v>28.222222222222225</v>
      </c>
      <c r="H84" s="5">
        <f>IF(Loads!C26&lt;&gt;"", 50*SQRT(235/($D$75*10))^2, "")</f>
        <v>50</v>
      </c>
      <c r="I84" s="6">
        <f>IF(Loads!C26&lt;&gt;"", 47.4*SQRT(235/($D$75*10))^2 / 'Cross Sections and Materials'!$Q$9, "")</f>
        <v>32.689655172413794</v>
      </c>
      <c r="J84" s="9">
        <f>IF(Loads!C26&lt;&gt;"", G84/MIN(H84,I84), "")</f>
        <v>0.8633380215658697</v>
      </c>
      <c r="K84" s="43" t="str">
        <f>IF(Loads!C26&lt;&gt;"", IF(J84&lt;1,"OK!","NG!"), "")</f>
        <v>OK!</v>
      </c>
    </row>
    <row r="85" spans="3:13" x14ac:dyDescent="0.25">
      <c r="C85" s="23">
        <v>4</v>
      </c>
      <c r="D85" s="20" t="str">
        <f>IF(Loads!C27&lt;&gt;"", D11, "")</f>
        <v>CHS 168.3x6</v>
      </c>
      <c r="E85" s="5">
        <f>IF(Loads!C27&lt;&gt;"", 'Cross Sections and Materials'!D16, "")</f>
        <v>168.3</v>
      </c>
      <c r="F85" s="5">
        <f>IF(Loads!C27&lt;&gt;"", 'Cross Sections and Materials'!E16, "")</f>
        <v>6</v>
      </c>
      <c r="G85" s="5">
        <f>IF(Loads!C27&lt;&gt;"", E85/F85, "")</f>
        <v>28.05</v>
      </c>
      <c r="H85" s="5">
        <f>IF(Loads!C27&lt;&gt;"", 50*SQRT(235/($D$75*10))^2, "")</f>
        <v>50</v>
      </c>
      <c r="I85" s="6">
        <f>IF(Loads!C27&lt;&gt;"", 47.4*SQRT(235/($D$75*10))^2 / 'Cross Sections and Materials'!$Q$9, "")</f>
        <v>32.689655172413794</v>
      </c>
      <c r="J85" s="9">
        <f>IF(Loads!C27&lt;&gt;"", G85/MIN(H85,I85), "")</f>
        <v>0.85806962025316458</v>
      </c>
      <c r="K85" s="43" t="str">
        <f>IF(Loads!C27&lt;&gt;"", IF(J85&lt;1,"OK!","NG!"), "")</f>
        <v>OK!</v>
      </c>
    </row>
    <row r="86" spans="3:13" x14ac:dyDescent="0.25">
      <c r="C86" s="23">
        <v>5</v>
      </c>
      <c r="D86" s="20" t="str">
        <f>IF(Loads!C28&lt;&gt;"", D12, "")</f>
        <v>CHS 139.7x6.3</v>
      </c>
      <c r="E86" s="5">
        <f>IF(Loads!C28&lt;&gt;"", 'Cross Sections and Materials'!D17, "")</f>
        <v>139.69999999999999</v>
      </c>
      <c r="F86" s="5">
        <f>IF(Loads!C28&lt;&gt;"", 'Cross Sections and Materials'!E17, "")</f>
        <v>6.3</v>
      </c>
      <c r="G86" s="5">
        <f>IF(Loads!C28&lt;&gt;"", E86/F86, "")</f>
        <v>22.174603174603174</v>
      </c>
      <c r="H86" s="5">
        <f>IF(Loads!C28&lt;&gt;"", 50*SQRT(235/($D$75*10))^2, "")</f>
        <v>50</v>
      </c>
      <c r="I86" s="6">
        <f>IF(Loads!C28&lt;&gt;"", 47.4*SQRT(235/($D$75*10))^2 / 'Cross Sections and Materials'!$Q$9, "")</f>
        <v>32.689655172413794</v>
      </c>
      <c r="J86" s="9">
        <f>IF(Loads!C28&lt;&gt;"", G86/MIN(H86,I86), "")</f>
        <v>0.6783370169446119</v>
      </c>
      <c r="K86" s="43" t="str">
        <f>IF(Loads!C28&lt;&gt;"", IF(J86&lt;1,"OK!","NG!"), "")</f>
        <v>OK!</v>
      </c>
    </row>
    <row r="87" spans="3:13" x14ac:dyDescent="0.25">
      <c r="C87" s="23">
        <v>6</v>
      </c>
      <c r="D87" s="20" t="str">
        <f>IF(Loads!C29&lt;&gt;"", D13, "")</f>
        <v>CHS 177.8x6.3</v>
      </c>
      <c r="E87" s="5">
        <f>IF(Loads!C29&lt;&gt;"", 'Cross Sections and Materials'!D18, "")</f>
        <v>177.8</v>
      </c>
      <c r="F87" s="5">
        <f>IF(Loads!C29&lt;&gt;"", 'Cross Sections and Materials'!E18, "")</f>
        <v>6.3</v>
      </c>
      <c r="G87" s="5">
        <f>IF(Loads!C29&lt;&gt;"", E87/F87, "")</f>
        <v>28.222222222222225</v>
      </c>
      <c r="H87" s="5">
        <f>IF(Loads!C29&lt;&gt;"", 50*SQRT(235/($D$75*10))^2, "")</f>
        <v>50</v>
      </c>
      <c r="I87" s="6">
        <f>IF(Loads!C29&lt;&gt;"", 47.4*SQRT(235/($D$75*10))^2 / 'Cross Sections and Materials'!$Q$9, "")</f>
        <v>32.689655172413794</v>
      </c>
      <c r="J87" s="9">
        <f>IF(Loads!C29&lt;&gt;"", G87/MIN(H87,I87), "")</f>
        <v>0.8633380215658697</v>
      </c>
      <c r="K87" s="43" t="str">
        <f>IF(Loads!C29&lt;&gt;"", IF(J87&lt;1,"OK!","NG!"), "")</f>
        <v>OK!</v>
      </c>
    </row>
    <row r="88" spans="3:13" x14ac:dyDescent="0.25">
      <c r="C88" s="23">
        <v>7</v>
      </c>
      <c r="D88" s="20" t="str">
        <f>IF(Loads!C30&lt;&gt;"", D14, "")</f>
        <v/>
      </c>
      <c r="E88" s="5" t="str">
        <f>IF(Loads!C30&lt;&gt;"", 'Cross Sections and Materials'!D19, "")</f>
        <v/>
      </c>
      <c r="F88" s="5" t="str">
        <f>IF(Loads!C30&lt;&gt;"", 'Cross Sections and Materials'!E19, "")</f>
        <v/>
      </c>
      <c r="G88" s="5" t="str">
        <f>IF(Loads!C30&lt;&gt;"", E88/F88, "")</f>
        <v/>
      </c>
      <c r="H88" s="5" t="str">
        <f>IF(Loads!C30&lt;&gt;"", 50*SQRT(235/($D$75*10))^2, "")</f>
        <v/>
      </c>
      <c r="I88" s="6" t="str">
        <f>IF(Loads!C30&lt;&gt;"", 47.4*SQRT(235/($D$75*10))^2 / 'Cross Sections and Materials'!$Q$9, "")</f>
        <v/>
      </c>
      <c r="J88" s="9" t="str">
        <f>IF(Loads!C30&lt;&gt;"", G88/MIN(H88,I88), "")</f>
        <v/>
      </c>
      <c r="K88" s="43" t="str">
        <f>IF(Loads!C30&lt;&gt;"", IF(J88&lt;1,"OK!","NG!"), "")</f>
        <v/>
      </c>
    </row>
    <row r="89" spans="3:13" x14ac:dyDescent="0.25">
      <c r="C89" s="23">
        <v>8</v>
      </c>
      <c r="D89" s="20" t="str">
        <f>IF(Loads!C31&lt;&gt;"", D15, "")</f>
        <v/>
      </c>
      <c r="E89" s="5" t="str">
        <f>IF(Loads!C31&lt;&gt;"", 'Cross Sections and Materials'!D20, "")</f>
        <v/>
      </c>
      <c r="F89" s="5" t="str">
        <f>IF(Loads!C31&lt;&gt;"", 'Cross Sections and Materials'!E20, "")</f>
        <v/>
      </c>
      <c r="G89" s="5" t="str">
        <f>IF(Loads!C31&lt;&gt;"", E89/F89, "")</f>
        <v/>
      </c>
      <c r="H89" s="5" t="str">
        <f>IF(Loads!C31&lt;&gt;"", 50*SQRT(235/($D$75*10))^2, "")</f>
        <v/>
      </c>
      <c r="I89" s="6" t="str">
        <f>IF(Loads!C31&lt;&gt;"", 47.4*SQRT(235/($D$75*10))^2 / 'Cross Sections and Materials'!$Q$9, "")</f>
        <v/>
      </c>
      <c r="J89" s="9" t="str">
        <f>IF(Loads!C31&lt;&gt;"", G89/MIN(H89,I89), "")</f>
        <v/>
      </c>
      <c r="K89" s="43" t="str">
        <f>IF(Loads!C31&lt;&gt;"", IF(J89&lt;1,"OK!","NG!"), "")</f>
        <v/>
      </c>
    </row>
    <row r="90" spans="3:13" ht="15.75" thickBot="1" x14ac:dyDescent="0.3">
      <c r="C90" s="27">
        <v>9</v>
      </c>
      <c r="D90" s="154" t="str">
        <f>IF(Loads!C32&lt;&gt;"", D16, "")</f>
        <v/>
      </c>
      <c r="E90" s="38" t="str">
        <f>IF(Loads!C32&lt;&gt;"", 'Cross Sections and Materials'!D21, "")</f>
        <v/>
      </c>
      <c r="F90" s="38" t="str">
        <f>IF(Loads!C32&lt;&gt;"", 'Cross Sections and Materials'!E21, "")</f>
        <v/>
      </c>
      <c r="G90" s="38" t="str">
        <f>IF(Loads!C32&lt;&gt;"", E90/F90, "")</f>
        <v/>
      </c>
      <c r="H90" s="38" t="str">
        <f>IF(Loads!C32&lt;&gt;"", 50*SQRT(235/($D$75*10))^2, "")</f>
        <v/>
      </c>
      <c r="I90" s="82" t="str">
        <f>IF(Loads!C32&lt;&gt;"", 47.4*SQRT(235/($D$75*10))^2 / 'Cross Sections and Materials'!$Q$9, "")</f>
        <v/>
      </c>
      <c r="J90" s="28" t="str">
        <f>IF(Loads!C32&lt;&gt;"", G90/MIN(H90,I90), "")</f>
        <v/>
      </c>
      <c r="K90" s="56" t="str">
        <f>IF(Loads!C32&lt;&gt;"", IF(J90&lt;1,"OK!","NG!"), "")</f>
        <v/>
      </c>
    </row>
    <row r="91" spans="3:13" ht="15.75" thickBot="1" x14ac:dyDescent="0.3"/>
    <row r="92" spans="3:13" ht="15.75" x14ac:dyDescent="0.25">
      <c r="C92" s="167" t="s">
        <v>85</v>
      </c>
      <c r="D92" s="163"/>
      <c r="E92" s="163"/>
      <c r="F92" s="163"/>
      <c r="G92" s="163"/>
      <c r="H92" s="163"/>
      <c r="I92" s="163"/>
      <c r="J92" s="163"/>
      <c r="K92" s="163"/>
      <c r="L92" s="163"/>
      <c r="M92" s="129"/>
    </row>
    <row r="93" spans="3:13" ht="18" x14ac:dyDescent="0.35">
      <c r="C93" s="25" t="s">
        <v>86</v>
      </c>
      <c r="D93" s="106">
        <v>2</v>
      </c>
      <c r="E93" t="s">
        <v>262</v>
      </c>
      <c r="M93" s="24"/>
    </row>
    <row r="94" spans="3:13" x14ac:dyDescent="0.25">
      <c r="C94" s="151" t="s">
        <v>3</v>
      </c>
      <c r="D94" s="127" t="s">
        <v>63</v>
      </c>
      <c r="E94" s="127" t="s">
        <v>115</v>
      </c>
      <c r="F94" s="127" t="s">
        <v>114</v>
      </c>
      <c r="G94" s="127" t="s">
        <v>64</v>
      </c>
      <c r="H94" s="127" t="s">
        <v>70</v>
      </c>
      <c r="I94" s="127" t="s">
        <v>69</v>
      </c>
      <c r="J94" s="127" t="s">
        <v>71</v>
      </c>
      <c r="K94" s="127" t="s">
        <v>73</v>
      </c>
      <c r="L94" s="127" t="s">
        <v>67</v>
      </c>
      <c r="M94" s="24"/>
    </row>
    <row r="95" spans="3:13" x14ac:dyDescent="0.25">
      <c r="C95" s="23">
        <v>1</v>
      </c>
      <c r="D95" s="20" t="str">
        <f>IF(Loads!C24&lt;&gt;"", D8, "")</f>
        <v>CHS 193.7x6</v>
      </c>
      <c r="E95" s="5">
        <f>IF(Loads!C24&lt;&gt;"", D60, "")</f>
        <v>350</v>
      </c>
      <c r="F95" s="5">
        <f>IF(Loads!C24&lt;&gt;"", F8, "")</f>
        <v>700</v>
      </c>
      <c r="G95" s="20">
        <f>IF(Loads!C24&lt;&gt;"", G8, "")</f>
        <v>35.380000000000003</v>
      </c>
      <c r="H95" s="5">
        <f>IF(Loads!C24&lt;&gt;"", 'Cross Sections and Materials'!G13, "")</f>
        <v>6.64</v>
      </c>
      <c r="I95" s="6">
        <f>IF(Loads!C24&lt;&gt;"", SQRT(E95^2+F95^2), "")</f>
        <v>782.62379212492635</v>
      </c>
      <c r="J95" s="5">
        <f>IF(Loads!C24&lt;&gt;"", 0.8*I95, "")</f>
        <v>626.09903369994117</v>
      </c>
      <c r="K95" s="9">
        <f>IF(Loads!C24&lt;&gt;"", J95/H95/$D$78, "")</f>
        <v>1.0041749004002289</v>
      </c>
      <c r="L95" s="9">
        <f>IF(Loads!C24&lt;&gt;"", K95/$D$93, "")</f>
        <v>0.50208745020011447</v>
      </c>
      <c r="M95" s="43" t="str">
        <f>IF(Loads!C24&lt;&gt;"", IF(L95&lt;1,"OK!","NG!"), "")</f>
        <v>OK!</v>
      </c>
    </row>
    <row r="96" spans="3:13" x14ac:dyDescent="0.25">
      <c r="C96" s="23">
        <v>2</v>
      </c>
      <c r="D96" s="20" t="str">
        <f>IF(Loads!C25&lt;&gt;"", D9, "")</f>
        <v>CHS 193.7x6</v>
      </c>
      <c r="E96" s="5">
        <f>IF(Loads!C25&lt;&gt;"", D61, "")</f>
        <v>350</v>
      </c>
      <c r="F96" s="5">
        <f>IF(Loads!C25&lt;&gt;"", F9, "")</f>
        <v>700</v>
      </c>
      <c r="G96" s="20">
        <f>IF(Loads!C25&lt;&gt;"", G9, "")</f>
        <v>35.380000000000003</v>
      </c>
      <c r="H96" s="5">
        <f>IF(Loads!C25&lt;&gt;"", 'Cross Sections and Materials'!G14, "")</f>
        <v>6.64</v>
      </c>
      <c r="I96" s="6">
        <f>IF(Loads!C25&lt;&gt;"", SQRT(E96^2+F96^2), "")</f>
        <v>782.62379212492635</v>
      </c>
      <c r="J96" s="5">
        <f>IF(Loads!C25&lt;&gt;"", 0.8*I96, "")</f>
        <v>626.09903369994117</v>
      </c>
      <c r="K96" s="9">
        <f>IF(Loads!C25&lt;&gt;"", J96/H96/$D$78, "")</f>
        <v>1.0041749004002289</v>
      </c>
      <c r="L96" s="9">
        <f>IF(Loads!C25&lt;&gt;"", K96/$D$93, "")</f>
        <v>0.50208745020011447</v>
      </c>
      <c r="M96" s="43" t="str">
        <f>IF(Loads!C25&lt;&gt;"", IF(L96&lt;1,"OK!","NG!"), "")</f>
        <v>OK!</v>
      </c>
    </row>
    <row r="97" spans="3:16" x14ac:dyDescent="0.25">
      <c r="C97" s="23">
        <v>3</v>
      </c>
      <c r="D97" s="20" t="str">
        <f>IF(Loads!C26&lt;&gt;"", D10, "")</f>
        <v>CHS 177.8x6.3</v>
      </c>
      <c r="E97" s="5">
        <f>IF(Loads!C26&lt;&gt;"", D62, "")</f>
        <v>350</v>
      </c>
      <c r="F97" s="5">
        <f>IF(Loads!C26&lt;&gt;"", F10, "")</f>
        <v>700</v>
      </c>
      <c r="G97" s="20">
        <f>IF(Loads!C26&lt;&gt;"", G10, "")</f>
        <v>32.380000000000003</v>
      </c>
      <c r="H97" s="5">
        <f>IF(Loads!C26&lt;&gt;"", 'Cross Sections and Materials'!G15, "")</f>
        <v>6.08</v>
      </c>
      <c r="I97" s="6">
        <f>IF(Loads!C26&lt;&gt;"", SQRT(E97^2+F97^2), "")</f>
        <v>782.62379212492635</v>
      </c>
      <c r="J97" s="5">
        <f>IF(Loads!C26&lt;&gt;"", 0.8*I97, "")</f>
        <v>626.09903369994117</v>
      </c>
      <c r="K97" s="9">
        <f>IF(Loads!C26&lt;&gt;"", J97/H97/$D$78, "")</f>
        <v>1.0966646938581448</v>
      </c>
      <c r="L97" s="9">
        <f>IF(Loads!C26&lt;&gt;"", K97/$D$93, "")</f>
        <v>0.5483323469290724</v>
      </c>
      <c r="M97" s="43" t="str">
        <f>IF(Loads!C26&lt;&gt;"", IF(L97&lt;1,"OK!","NG!"), "")</f>
        <v>OK!</v>
      </c>
    </row>
    <row r="98" spans="3:16" x14ac:dyDescent="0.25">
      <c r="C98" s="23">
        <v>4</v>
      </c>
      <c r="D98" s="20" t="str">
        <f>IF(Loads!C27&lt;&gt;"", D11, "")</f>
        <v>CHS 168.3x6</v>
      </c>
      <c r="E98" s="5">
        <f>IF(Loads!C27&lt;&gt;"", D63, "")</f>
        <v>350</v>
      </c>
      <c r="F98" s="5">
        <f>IF(Loads!C27&lt;&gt;"", F11, "")</f>
        <v>700</v>
      </c>
      <c r="G98" s="20">
        <f>IF(Loads!C27&lt;&gt;"", G11, "")</f>
        <v>30.59</v>
      </c>
      <c r="H98" s="5">
        <f>IF(Loads!C27&lt;&gt;"", 'Cross Sections and Materials'!G16, "")</f>
        <v>5.74</v>
      </c>
      <c r="I98" s="6">
        <f>IF(Loads!C27&lt;&gt;"", SQRT(E98^2+F98^2), "")</f>
        <v>782.62379212492635</v>
      </c>
      <c r="J98" s="5">
        <f>IF(Loads!C27&lt;&gt;"", 0.8*I98, "")</f>
        <v>626.09903369994117</v>
      </c>
      <c r="K98" s="9">
        <f>IF(Loads!C27&lt;&gt;"", J98/H98/$D$78, "")</f>
        <v>1.1616239265953867</v>
      </c>
      <c r="L98" s="9">
        <f>IF(Loads!C27&lt;&gt;"", K98/$D$93, "")</f>
        <v>0.58081196329769336</v>
      </c>
      <c r="M98" s="43" t="str">
        <f>IF(Loads!C27&lt;&gt;"", IF(L98&lt;1,"OK!","NG!"), "")</f>
        <v>OK!</v>
      </c>
    </row>
    <row r="99" spans="3:16" x14ac:dyDescent="0.25">
      <c r="C99" s="23">
        <v>5</v>
      </c>
      <c r="D99" s="20" t="str">
        <f>IF(Loads!C28&lt;&gt;"", D12, "")</f>
        <v>CHS 139.7x6.3</v>
      </c>
      <c r="E99" s="5">
        <f>IF(Loads!C28&lt;&gt;"", D64, "")</f>
        <v>350</v>
      </c>
      <c r="F99" s="5">
        <f>IF(Loads!C28&lt;&gt;"", F12, "")</f>
        <v>700</v>
      </c>
      <c r="G99" s="20">
        <f>IF(Loads!C28&lt;&gt;"", G12, "")</f>
        <v>26.4</v>
      </c>
      <c r="H99" s="5">
        <f>IF(Loads!C28&lt;&gt;"", 'Cross Sections and Materials'!G17, "")</f>
        <v>4.72</v>
      </c>
      <c r="I99" s="6">
        <f>IF(Loads!C28&lt;&gt;"", SQRT(E99^2+F99^2), "")</f>
        <v>782.62379212492635</v>
      </c>
      <c r="J99" s="5">
        <f>IF(Loads!C28&lt;&gt;"", 0.8*I99, "")</f>
        <v>626.09903369994117</v>
      </c>
      <c r="K99" s="9">
        <f>IF(Loads!C28&lt;&gt;"", J99/H99/$D$78, "")</f>
        <v>1.4126528259867628</v>
      </c>
      <c r="L99" s="9">
        <f>IF(Loads!C28&lt;&gt;"", K99/$D$93, "")</f>
        <v>0.70632641299338139</v>
      </c>
      <c r="M99" s="43" t="str">
        <f>IF(Loads!C28&lt;&gt;"", IF(L99&lt;1,"OK!","NG!"), "")</f>
        <v>OK!</v>
      </c>
    </row>
    <row r="100" spans="3:16" x14ac:dyDescent="0.25">
      <c r="C100" s="23">
        <v>6</v>
      </c>
      <c r="D100" s="20" t="str">
        <f>IF(Loads!C29&lt;&gt;"", D13, "")</f>
        <v>CHS 177.8x6.3</v>
      </c>
      <c r="E100" s="5">
        <f>IF(Loads!C29&lt;&gt;"", D65, "")</f>
        <v>350</v>
      </c>
      <c r="F100" s="5">
        <f>IF(Loads!C29&lt;&gt;"", F13, "")</f>
        <v>700</v>
      </c>
      <c r="G100" s="20">
        <f>IF(Loads!C29&lt;&gt;"", G13, "")</f>
        <v>32.380000000000003</v>
      </c>
      <c r="H100" s="5">
        <f>IF(Loads!C29&lt;&gt;"", 'Cross Sections and Materials'!G18, "")</f>
        <v>6.08</v>
      </c>
      <c r="I100" s="6">
        <f>IF(Loads!C29&lt;&gt;"", SQRT(E100^2+F100^2), "")</f>
        <v>782.62379212492635</v>
      </c>
      <c r="J100" s="5">
        <f>IF(Loads!C29&lt;&gt;"", 0.8*I100, "")</f>
        <v>626.09903369994117</v>
      </c>
      <c r="K100" s="9">
        <f>IF(Loads!C29&lt;&gt;"", J100/H100/$D$78, "")</f>
        <v>1.0966646938581448</v>
      </c>
      <c r="L100" s="9">
        <f>IF(Loads!C29&lt;&gt;"", K100/$D$93, "")</f>
        <v>0.5483323469290724</v>
      </c>
      <c r="M100" s="43" t="str">
        <f>IF(Loads!C29&lt;&gt;"", IF(L100&lt;1,"OK!","NG!"), "")</f>
        <v>OK!</v>
      </c>
    </row>
    <row r="101" spans="3:16" x14ac:dyDescent="0.25">
      <c r="C101" s="23">
        <v>7</v>
      </c>
      <c r="D101" s="20" t="str">
        <f>IF(Loads!C30&lt;&gt;"", D14, "")</f>
        <v/>
      </c>
      <c r="E101" s="5" t="str">
        <f>IF(Loads!C30&lt;&gt;"", D66, "")</f>
        <v/>
      </c>
      <c r="F101" s="5" t="str">
        <f>IF(Loads!C30&lt;&gt;"", F14, "")</f>
        <v/>
      </c>
      <c r="G101" s="20" t="str">
        <f>IF(Loads!C30&lt;&gt;"", G14, "")</f>
        <v/>
      </c>
      <c r="H101" s="5" t="str">
        <f>IF(Loads!C30&lt;&gt;"", 'Cross Sections and Materials'!G19, "")</f>
        <v/>
      </c>
      <c r="I101" s="6" t="str">
        <f>IF(Loads!C30&lt;&gt;"", SQRT(E101^2+F101^2), "")</f>
        <v/>
      </c>
      <c r="J101" s="5" t="str">
        <f>IF(Loads!C30&lt;&gt;"", 0.8*I101, "")</f>
        <v/>
      </c>
      <c r="K101" s="9" t="str">
        <f>IF(Loads!C30&lt;&gt;"", J101/H101/$D$78, "")</f>
        <v/>
      </c>
      <c r="L101" s="9" t="str">
        <f>IF(Loads!C30&lt;&gt;"", K101/$D$93, "")</f>
        <v/>
      </c>
      <c r="M101" s="43" t="str">
        <f>IF(Loads!C30&lt;&gt;"", IF(L101&lt;1,"OK!","NG!"), "")</f>
        <v/>
      </c>
    </row>
    <row r="102" spans="3:16" x14ac:dyDescent="0.25">
      <c r="C102" s="23">
        <v>8</v>
      </c>
      <c r="D102" s="20" t="str">
        <f>IF(Loads!C31&lt;&gt;"", D15, "")</f>
        <v/>
      </c>
      <c r="E102" s="5" t="str">
        <f>IF(Loads!C31&lt;&gt;"", D67, "")</f>
        <v/>
      </c>
      <c r="F102" s="5" t="str">
        <f>IF(Loads!C31&lt;&gt;"", F15, "")</f>
        <v/>
      </c>
      <c r="G102" s="20" t="str">
        <f>IF(Loads!C31&lt;&gt;"", G15, "")</f>
        <v/>
      </c>
      <c r="H102" s="5" t="str">
        <f>IF(Loads!C31&lt;&gt;"", 'Cross Sections and Materials'!G20, "")</f>
        <v/>
      </c>
      <c r="I102" s="6" t="str">
        <f>IF(Loads!C31&lt;&gt;"", SQRT(E102^2+F102^2), "")</f>
        <v/>
      </c>
      <c r="J102" s="5" t="str">
        <f>IF(Loads!C31&lt;&gt;"", 0.8*I102, "")</f>
        <v/>
      </c>
      <c r="K102" s="9" t="str">
        <f>IF(Loads!C31&lt;&gt;"", J102/H102/$D$78, "")</f>
        <v/>
      </c>
      <c r="L102" s="9" t="str">
        <f>IF(Loads!C31&lt;&gt;"", K102/$D$93, "")</f>
        <v/>
      </c>
      <c r="M102" s="43" t="str">
        <f>IF(Loads!C31&lt;&gt;"", IF(L102&lt;1,"OK!","NG!"), "")</f>
        <v/>
      </c>
    </row>
    <row r="103" spans="3:16" ht="15.75" thickBot="1" x14ac:dyDescent="0.3">
      <c r="C103" s="27">
        <v>9</v>
      </c>
      <c r="D103" s="154" t="str">
        <f>IF(Loads!C32&lt;&gt;"", D16, "")</f>
        <v/>
      </c>
      <c r="E103" s="38" t="str">
        <f>IF(Loads!C32&lt;&gt;"", D68, "")</f>
        <v/>
      </c>
      <c r="F103" s="38" t="str">
        <f>IF(Loads!C32&lt;&gt;"", F16, "")</f>
        <v/>
      </c>
      <c r="G103" s="154" t="str">
        <f>IF(Loads!C32&lt;&gt;"", G16, "")</f>
        <v/>
      </c>
      <c r="H103" s="38" t="str">
        <f>IF(Loads!C32&lt;&gt;"", 'Cross Sections and Materials'!G21, "")</f>
        <v/>
      </c>
      <c r="I103" s="82" t="str">
        <f>IF(Loads!C32&lt;&gt;"", SQRT(E103^2+F103^2), "")</f>
        <v/>
      </c>
      <c r="J103" s="38" t="str">
        <f>IF(Loads!C32&lt;&gt;"", 0.8*I103, "")</f>
        <v/>
      </c>
      <c r="K103" s="28" t="str">
        <f>IF(Loads!C32&lt;&gt;"", J103/H103/$D$78, "")</f>
        <v/>
      </c>
      <c r="L103" s="28" t="str">
        <f>IF(Loads!C32&lt;&gt;"", K103/$D$93, "")</f>
        <v/>
      </c>
      <c r="M103" s="56" t="str">
        <f>IF(Loads!C32&lt;&gt;"", IF(L103&lt;1,"OK!","NG!"), "")</f>
        <v/>
      </c>
    </row>
    <row r="104" spans="3:16" ht="15.75" thickBot="1" x14ac:dyDescent="0.3">
      <c r="D104" s="20"/>
      <c r="E104" s="5"/>
      <c r="F104" s="5"/>
      <c r="G104" s="20"/>
      <c r="H104" s="5"/>
      <c r="I104" s="6"/>
      <c r="J104" s="5"/>
      <c r="K104" s="9"/>
      <c r="L104" s="9"/>
      <c r="M104" s="2"/>
    </row>
    <row r="105" spans="3:16" ht="15.75" x14ac:dyDescent="0.25">
      <c r="C105" s="167" t="s">
        <v>87</v>
      </c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29"/>
    </row>
    <row r="106" spans="3:16" x14ac:dyDescent="0.25">
      <c r="C106" s="26" t="s">
        <v>264</v>
      </c>
      <c r="D106" s="9">
        <f>MIN(M108:M110)</f>
        <v>1.1218616794177649</v>
      </c>
      <c r="E106" s="192"/>
      <c r="F106" s="11"/>
      <c r="O106" s="24"/>
    </row>
    <row r="107" spans="3:16" x14ac:dyDescent="0.25">
      <c r="C107" s="151" t="s">
        <v>3</v>
      </c>
      <c r="D107" s="127" t="s">
        <v>63</v>
      </c>
      <c r="E107" s="127" t="s">
        <v>105</v>
      </c>
      <c r="F107" s="127" t="s">
        <v>104</v>
      </c>
      <c r="G107" s="127" t="s">
        <v>106</v>
      </c>
      <c r="H107" s="127" t="s">
        <v>73</v>
      </c>
      <c r="I107" s="127" t="s">
        <v>74</v>
      </c>
      <c r="J107" s="127" t="s">
        <v>75</v>
      </c>
      <c r="K107" s="127" t="s">
        <v>25</v>
      </c>
      <c r="L107" s="127" t="s">
        <v>76</v>
      </c>
      <c r="M107" s="127" t="s">
        <v>102</v>
      </c>
      <c r="N107" s="127" t="s">
        <v>67</v>
      </c>
      <c r="O107" s="24"/>
      <c r="P107" s="1"/>
    </row>
    <row r="108" spans="3:16" x14ac:dyDescent="0.25">
      <c r="C108" s="23">
        <v>1</v>
      </c>
      <c r="D108" s="20" t="str">
        <f>IF(Loads!C24&lt;&gt;"", D8, "")</f>
        <v>CHS 193.7x6</v>
      </c>
      <c r="E108" s="206">
        <v>23.55</v>
      </c>
      <c r="F108" s="207">
        <v>338.6</v>
      </c>
      <c r="G108" s="13">
        <f>IF(Loads!C24&lt;&gt;"", E108+F108, "")</f>
        <v>362.15000000000003</v>
      </c>
      <c r="H108" s="9">
        <f>IF(Loads!C24&lt;&gt;"", K95, "")</f>
        <v>1.0041749004002289</v>
      </c>
      <c r="I108" s="5">
        <f>IF(Loads!C24&lt;&gt;"", 'Cross Sections and Materials'!I13, "")</f>
        <v>0.49</v>
      </c>
      <c r="J108" s="6">
        <f>IF(Loads!C24&lt;&gt;"", 0.5*(1+$I$108*(H108-0.2)+H108^2), "")</f>
        <v>1.2012064658949608</v>
      </c>
      <c r="K108" s="9">
        <f>IF(Loads!C24&lt;&gt;"", MIN(1/(J108+SQRT(J108^2-H108^2)), 1), "")</f>
        <v>0.53752020966438308</v>
      </c>
      <c r="L108" s="6">
        <f>IF(Loads!C24&lt;&gt;"", K108*G95*$D$75/$D$77, "")</f>
        <v>406.28220720114365</v>
      </c>
      <c r="M108" s="9">
        <f>IF(Loads!C24&lt;&gt;"", L108/G108, "")</f>
        <v>1.1218616794177649</v>
      </c>
      <c r="N108" s="9">
        <f>IF(Loads!C24&lt;&gt;"", G108/L108, "")</f>
        <v>0.89137548625334095</v>
      </c>
      <c r="O108" s="43" t="str">
        <f>IF(Loads!C24&lt;&gt;"", IF(N108&lt;1,"OK!","NG!"), "")</f>
        <v>OK!</v>
      </c>
    </row>
    <row r="109" spans="3:16" x14ac:dyDescent="0.25">
      <c r="C109" s="23">
        <v>2</v>
      </c>
      <c r="D109" s="20" t="str">
        <f>IF(Loads!C25&lt;&gt;"", D9, "")</f>
        <v>CHS 193.7x6</v>
      </c>
      <c r="E109" s="206">
        <v>23.1</v>
      </c>
      <c r="F109" s="207">
        <v>295.7</v>
      </c>
      <c r="G109" s="13">
        <f>IF(Loads!C25&lt;&gt;"", E109+F109, "")</f>
        <v>318.8</v>
      </c>
      <c r="H109" s="9">
        <f>IF(Loads!C25&lt;&gt;"", K96, "")</f>
        <v>1.0041749004002289</v>
      </c>
      <c r="I109" s="5">
        <f>IF(Loads!C25&lt;&gt;"", 'Cross Sections and Materials'!I14, "")</f>
        <v>0.49</v>
      </c>
      <c r="J109" s="6">
        <f>IF(Loads!C25&lt;&gt;"", 0.5*(1+$I$108*(H109-0.2)+H109^2), "")</f>
        <v>1.2012064658949608</v>
      </c>
      <c r="K109" s="9">
        <f>IF(Loads!C25&lt;&gt;"", MIN(1/(J109+SQRT(J109^2-H109^2)), 1), "")</f>
        <v>0.53752020966438308</v>
      </c>
      <c r="L109" s="6">
        <f>IF(Loads!C25&lt;&gt;"", K109*G96*$D$75/$D$77, "")</f>
        <v>406.28220720114365</v>
      </c>
      <c r="M109" s="9">
        <f>IF(Loads!C25&lt;&gt;"", L109/G109, "")</f>
        <v>1.2744109385230353</v>
      </c>
      <c r="N109" s="9">
        <f>IF(Loads!C25&lt;&gt;"", G109/L109, "")</f>
        <v>0.78467625298236943</v>
      </c>
      <c r="O109" s="43" t="str">
        <f>IF(Loads!C25&lt;&gt;"", IF(N109&lt;1,"OK!","NG!"), "")</f>
        <v>OK!</v>
      </c>
    </row>
    <row r="110" spans="3:16" x14ac:dyDescent="0.25">
      <c r="C110" s="23">
        <v>3</v>
      </c>
      <c r="D110" s="20" t="str">
        <f>IF(Loads!C26&lt;&gt;"", D10, "")</f>
        <v>CHS 177.8x6.3</v>
      </c>
      <c r="E110" s="206">
        <v>23.2</v>
      </c>
      <c r="F110" s="207">
        <v>272.10000000000002</v>
      </c>
      <c r="G110" s="13">
        <f>IF(Loads!C26&lt;&gt;"", E110+F110, "")</f>
        <v>295.3</v>
      </c>
      <c r="H110" s="9">
        <f>IF(Loads!C26&lt;&gt;"", K97, "")</f>
        <v>1.0966646938581448</v>
      </c>
      <c r="I110" s="5">
        <f>IF(Loads!C26&lt;&gt;"", 'Cross Sections and Materials'!I15, "")</f>
        <v>0.49</v>
      </c>
      <c r="J110" s="6">
        <f>IF(Loads!C26&lt;&gt;"", 0.5*(1+$I$108*(H110-0.2)+H110^2), "")</f>
        <v>1.3210195753727347</v>
      </c>
      <c r="K110" s="9">
        <f>IF(Loads!C26&lt;&gt;"", MIN(1/(J110+SQRT(J110^2-H110^2)), 1), "")</f>
        <v>0.48602418929728419</v>
      </c>
      <c r="L110" s="6">
        <f>IF(Loads!C26&lt;&gt;"", K110*G97*$D$75/$D$77, "")</f>
        <v>336.20944214725682</v>
      </c>
      <c r="M110" s="9">
        <f>IF(Loads!C26&lt;&gt;"", L110/G110, "")</f>
        <v>1.1385351918295186</v>
      </c>
      <c r="N110" s="9">
        <f>IF(Loads!C26&lt;&gt;"", G110/L110, "")</f>
        <v>0.87832155490344965</v>
      </c>
      <c r="O110" s="43" t="str">
        <f>IF(Loads!C26&lt;&gt;"", IF(N110&lt;1,"OK!","NG!"), "")</f>
        <v>OK!</v>
      </c>
    </row>
    <row r="111" spans="3:16" x14ac:dyDescent="0.25">
      <c r="C111" s="23">
        <v>4</v>
      </c>
      <c r="D111" s="20" t="str">
        <f>IF(Loads!C27&lt;&gt;"", D11, "")</f>
        <v>CHS 168.3x6</v>
      </c>
      <c r="E111" s="206">
        <v>30.23</v>
      </c>
      <c r="F111" s="207">
        <v>230.6</v>
      </c>
      <c r="G111" s="13">
        <f>IF(Loads!C27&lt;&gt;"", E111+F111, "")</f>
        <v>260.83</v>
      </c>
      <c r="H111" s="9">
        <f>IF(Loads!C27&lt;&gt;"", K98, "")</f>
        <v>1.1616239265953867</v>
      </c>
      <c r="I111" s="5">
        <f>IF(Loads!C27&lt;&gt;"", 'Cross Sections and Materials'!I16, "")</f>
        <v>0.49</v>
      </c>
      <c r="J111" s="6">
        <f>IF(Loads!C27&lt;&gt;"", 0.5*(1+$I$108*(H111-0.2)+H111^2), "")</f>
        <v>1.4102829354353119</v>
      </c>
      <c r="K111" s="9">
        <f>IF(Loads!C27&lt;&gt;"", MIN(1/(J111+SQRT(J111^2-H111^2)), 1), "")</f>
        <v>0.45249119328504206</v>
      </c>
      <c r="L111" s="6">
        <f>IF(Loads!C27&lt;&gt;"", K111*G98*$D$75/$D$77, "")</f>
        <v>295.70916514622883</v>
      </c>
      <c r="M111" s="9">
        <f>IF(Loads!C27&lt;&gt;"", L111/G111, "")</f>
        <v>1.1337237478289646</v>
      </c>
      <c r="N111" s="9">
        <f>IF(Loads!C27&lt;&gt;"", G111/L111, "")</f>
        <v>0.88204908992597164</v>
      </c>
      <c r="O111" s="43" t="str">
        <f>IF(Loads!C27&lt;&gt;"", IF(N111&lt;1,"OK!","NG!"), "")</f>
        <v>OK!</v>
      </c>
    </row>
    <row r="112" spans="3:16" x14ac:dyDescent="0.25">
      <c r="C112" s="23">
        <v>5</v>
      </c>
      <c r="D112" s="20" t="str">
        <f>IF(Loads!C28&lt;&gt;"", D12, "")</f>
        <v>CHS 139.7x6.3</v>
      </c>
      <c r="E112" s="206">
        <v>28.02</v>
      </c>
      <c r="F112" s="207">
        <v>159.5</v>
      </c>
      <c r="G112" s="13">
        <f>IF(Loads!C28&lt;&gt;"", E112+F112, "")</f>
        <v>187.52</v>
      </c>
      <c r="H112" s="9">
        <f>IF(Loads!C28&lt;&gt;"", K99, "")</f>
        <v>1.4126528259867628</v>
      </c>
      <c r="I112" s="5">
        <f>IF(Loads!C28&lt;&gt;"", 'Cross Sections and Materials'!I17, "")</f>
        <v>0.49</v>
      </c>
      <c r="J112" s="6">
        <f>IF(Loads!C28&lt;&gt;"", 0.5*(1+$I$108*(H112-0.2)+H112^2), "")</f>
        <v>1.7948939457509505</v>
      </c>
      <c r="K112" s="9">
        <f>IF(Loads!C28&lt;&gt;"", MIN(1/(J112+SQRT(J112^2-H112^2)), 1), "")</f>
        <v>0.34456996692481989</v>
      </c>
      <c r="L112" s="6">
        <f>IF(Loads!C28&lt;&gt;"", K112*G99*$D$75/$D$77, "")</f>
        <v>194.3374613455984</v>
      </c>
      <c r="M112" s="9">
        <f>IF(Loads!C28&lt;&gt;"", L112/G112, "")</f>
        <v>1.0363559158788309</v>
      </c>
      <c r="N112" s="9">
        <f>IF(Loads!C28&lt;&gt;"", G112/L112, "")</f>
        <v>0.96491946895676173</v>
      </c>
      <c r="O112" s="43" t="str">
        <f>IF(Loads!C28&lt;&gt;"", IF(N112&lt;1,"OK!","NG!"), "")</f>
        <v>OK!</v>
      </c>
    </row>
    <row r="113" spans="3:15" x14ac:dyDescent="0.25">
      <c r="C113" s="23">
        <v>6</v>
      </c>
      <c r="D113" s="20" t="str">
        <f>IF(Loads!C29&lt;&gt;"", D13, "")</f>
        <v>CHS 177.8x6.3</v>
      </c>
      <c r="E113" s="206">
        <v>28.78</v>
      </c>
      <c r="F113" s="207">
        <v>91.74</v>
      </c>
      <c r="G113" s="13">
        <f>IF(Loads!C29&lt;&gt;"", E113+F113, "")</f>
        <v>120.52</v>
      </c>
      <c r="H113" s="9">
        <f>IF(Loads!C29&lt;&gt;"", K100, "")</f>
        <v>1.0966646938581448</v>
      </c>
      <c r="I113" s="5">
        <f>IF(Loads!C29&lt;&gt;"", 'Cross Sections and Materials'!I18, "")</f>
        <v>0.49</v>
      </c>
      <c r="J113" s="6">
        <f>IF(Loads!C29&lt;&gt;"", 0.5*(1+$I$108*(H113-0.2)+H113^2), "")</f>
        <v>1.3210195753727347</v>
      </c>
      <c r="K113" s="9">
        <f>IF(Loads!C29&lt;&gt;"", MIN(1/(J113+SQRT(J113^2-H113^2)), 1), "")</f>
        <v>0.48602418929728419</v>
      </c>
      <c r="L113" s="6">
        <f>IF(Loads!C29&lt;&gt;"", K113*G100*$D$75/$D$77, "")</f>
        <v>336.20944214725682</v>
      </c>
      <c r="M113" s="9">
        <f>IF(Loads!C29&lt;&gt;"", L113/G113, "")</f>
        <v>2.7896568382613411</v>
      </c>
      <c r="N113" s="9">
        <f>IF(Loads!C29&lt;&gt;"", G113/L113, "")</f>
        <v>0.35846702945128256</v>
      </c>
      <c r="O113" s="43" t="str">
        <f>IF(Loads!C29&lt;&gt;"", IF(N113&lt;1,"OK!","NG!"), "")</f>
        <v>OK!</v>
      </c>
    </row>
    <row r="114" spans="3:15" x14ac:dyDescent="0.25">
      <c r="C114" s="23">
        <v>7</v>
      </c>
      <c r="D114" s="20" t="str">
        <f>IF(Loads!C30&lt;&gt;"", D14, "")</f>
        <v/>
      </c>
      <c r="E114" s="106"/>
      <c r="F114" s="189"/>
      <c r="G114" s="13" t="str">
        <f>IF(Loads!C30&lt;&gt;"", E114+F114, "")</f>
        <v/>
      </c>
      <c r="H114" s="9" t="str">
        <f>IF(Loads!C30&lt;&gt;"", K101, "")</f>
        <v/>
      </c>
      <c r="I114" s="5" t="str">
        <f>IF(Loads!C30&lt;&gt;"", 'Cross Sections and Materials'!I19, "")</f>
        <v/>
      </c>
      <c r="J114" s="6" t="str">
        <f>IF(Loads!C30&lt;&gt;"", 0.5*(1+$I$108*(H114-0.2)+H114^2), "")</f>
        <v/>
      </c>
      <c r="K114" s="9" t="str">
        <f>IF(Loads!C30&lt;&gt;"", MIN(1/(J114+SQRT(J114^2-H114^2)), 1), "")</f>
        <v/>
      </c>
      <c r="L114" s="6" t="str">
        <f>IF(Loads!C30&lt;&gt;"", K114*G101*$D$75/$D$77, "")</f>
        <v/>
      </c>
      <c r="M114" s="9" t="str">
        <f>IF(Loads!C30&lt;&gt;"", L114/G114, "")</f>
        <v/>
      </c>
      <c r="N114" s="9" t="str">
        <f>IF(Loads!C30&lt;&gt;"", G114/L114, "")</f>
        <v/>
      </c>
      <c r="O114" s="43" t="str">
        <f>IF(Loads!C30&lt;&gt;"", IF(N114&lt;1,"OK!","NG!"), "")</f>
        <v/>
      </c>
    </row>
    <row r="115" spans="3:15" x14ac:dyDescent="0.25">
      <c r="C115" s="23">
        <v>8</v>
      </c>
      <c r="D115" s="20" t="str">
        <f>IF(Loads!C31&lt;&gt;"", D15, "")</f>
        <v/>
      </c>
      <c r="E115" s="106"/>
      <c r="F115" s="189"/>
      <c r="G115" s="13" t="str">
        <f>IF(Loads!C31&lt;&gt;"", E115+F115, "")</f>
        <v/>
      </c>
      <c r="H115" s="9" t="str">
        <f>IF(Loads!C31&lt;&gt;"", K102, "")</f>
        <v/>
      </c>
      <c r="I115" s="5" t="str">
        <f>IF(Loads!C31&lt;&gt;"", 'Cross Sections and Materials'!I20, "")</f>
        <v/>
      </c>
      <c r="J115" s="6" t="str">
        <f>IF(Loads!C31&lt;&gt;"", 0.5*(1+$I$108*(H115-0.2)+H115^2), "")</f>
        <v/>
      </c>
      <c r="K115" s="9" t="str">
        <f>IF(Loads!C31&lt;&gt;"", MIN(1/(J115+SQRT(J115^2-H115^2)), 1), "")</f>
        <v/>
      </c>
      <c r="L115" s="6" t="str">
        <f>IF(Loads!C31&lt;&gt;"", K115*G102*$D$75/$D$77, "")</f>
        <v/>
      </c>
      <c r="M115" s="9" t="str">
        <f>IF(Loads!C31&lt;&gt;"", L115/G115, "")</f>
        <v/>
      </c>
      <c r="N115" s="9" t="str">
        <f>IF(Loads!C31&lt;&gt;"", G115/L115, "")</f>
        <v/>
      </c>
      <c r="O115" s="43" t="str">
        <f>IF(Loads!C31&lt;&gt;"", IF(N115&lt;1,"OK!","NG!"), "")</f>
        <v/>
      </c>
    </row>
    <row r="116" spans="3:15" ht="15.75" thickBot="1" x14ac:dyDescent="0.3">
      <c r="C116" s="27">
        <v>9</v>
      </c>
      <c r="D116" s="154" t="str">
        <f>IF(Loads!C32&lt;&gt;"", D16, "")</f>
        <v/>
      </c>
      <c r="E116" s="178"/>
      <c r="F116" s="190"/>
      <c r="G116" s="55" t="str">
        <f>IF(Loads!C32&lt;&gt;"", E116+F116, "")</f>
        <v/>
      </c>
      <c r="H116" s="28" t="str">
        <f>IF(Loads!C32&lt;&gt;"", K103, "")</f>
        <v/>
      </c>
      <c r="I116" s="38" t="str">
        <f>IF(Loads!C32&lt;&gt;"", 'Cross Sections and Materials'!I21, "")</f>
        <v/>
      </c>
      <c r="J116" s="82" t="str">
        <f>IF(Loads!C32&lt;&gt;"", 0.5*(1+$I$108*(H116-0.2)+H116^2), "")</f>
        <v/>
      </c>
      <c r="K116" s="28" t="str">
        <f>IF(Loads!C32&lt;&gt;"", MIN(1/(J116+SQRT(J116^2-H116^2)), 1), "")</f>
        <v/>
      </c>
      <c r="L116" s="82" t="str">
        <f>IF(Loads!C32&lt;&gt;"", K116*G103*$D$75/$D$77, "")</f>
        <v/>
      </c>
      <c r="M116" s="28" t="str">
        <f>IF(Loads!C32&lt;&gt;"", L116/G116, "")</f>
        <v/>
      </c>
      <c r="N116" s="28" t="str">
        <f>IF(Loads!C32&lt;&gt;"", G116/L116, "")</f>
        <v/>
      </c>
      <c r="O116" s="56" t="str">
        <f>IF(Loads!C32&lt;&gt;"", IF(N116&lt;1,"OK!","NG!"), "")</f>
        <v/>
      </c>
    </row>
    <row r="117" spans="3:15" ht="15.75" thickBot="1" x14ac:dyDescent="0.3"/>
    <row r="118" spans="3:15" s="22" customFormat="1" ht="15.75" x14ac:dyDescent="0.25">
      <c r="C118" s="186" t="s">
        <v>77</v>
      </c>
      <c r="D118" s="187"/>
      <c r="E118" s="187"/>
      <c r="F118" s="187"/>
      <c r="G118" s="187"/>
      <c r="H118" s="187"/>
      <c r="I118" s="187"/>
      <c r="J118" s="187"/>
      <c r="K118" s="187"/>
      <c r="L118" s="188"/>
    </row>
    <row r="119" spans="3:15" s="22" customFormat="1" x14ac:dyDescent="0.25">
      <c r="C119" s="26" t="s">
        <v>258</v>
      </c>
      <c r="D119" s="6">
        <f>MIN(J121:J123)</f>
        <v>2.6356950388334131</v>
      </c>
      <c r="E119" s="6"/>
      <c r="L119" s="99"/>
    </row>
    <row r="120" spans="3:15" x14ac:dyDescent="0.25">
      <c r="C120" s="151" t="s">
        <v>3</v>
      </c>
      <c r="D120" s="127" t="s">
        <v>63</v>
      </c>
      <c r="E120" s="127" t="s">
        <v>105</v>
      </c>
      <c r="F120" s="127" t="s">
        <v>104</v>
      </c>
      <c r="G120" s="127" t="s">
        <v>64</v>
      </c>
      <c r="H120" s="127" t="s">
        <v>65</v>
      </c>
      <c r="I120" s="127" t="s">
        <v>66</v>
      </c>
      <c r="J120" s="127" t="s">
        <v>102</v>
      </c>
      <c r="K120" s="127" t="s">
        <v>67</v>
      </c>
      <c r="L120" s="43"/>
    </row>
    <row r="121" spans="3:15" x14ac:dyDescent="0.25">
      <c r="C121" s="23">
        <v>1</v>
      </c>
      <c r="D121" s="20" t="str">
        <f>IF(Loads!C24&lt;&gt;"", D8, "")</f>
        <v>CHS 193.7x6</v>
      </c>
      <c r="E121" s="206">
        <v>23.55</v>
      </c>
      <c r="F121" s="207">
        <v>-339</v>
      </c>
      <c r="G121" s="20">
        <f>IF(Loads!C24&lt;&gt;"", G95, "")</f>
        <v>35.380000000000003</v>
      </c>
      <c r="H121" s="17">
        <f>IF(Loads!C24&lt;&gt;"",E121+F121,"")</f>
        <v>-315.45</v>
      </c>
      <c r="I121" s="13">
        <f>IF(Loads!C24&lt;&gt;"", G121*$D$75/$D$76, "")</f>
        <v>831.43000000000006</v>
      </c>
      <c r="J121" s="6">
        <f>IF(Loads!C24&lt;&gt;"", I121/ABS(H121), "")</f>
        <v>2.6356950388334131</v>
      </c>
      <c r="K121" s="9">
        <f>IF(Loads!C24&lt;&gt;"",ABS(H121)/I121,"")</f>
        <v>0.37940656459353156</v>
      </c>
      <c r="L121" s="43" t="str">
        <f>IF(Loads!C24&lt;&gt;"", IF(K121&lt;1,"OK!","NG!"), "")</f>
        <v>OK!</v>
      </c>
    </row>
    <row r="122" spans="3:15" x14ac:dyDescent="0.25">
      <c r="C122" s="23">
        <v>2</v>
      </c>
      <c r="D122" s="20" t="str">
        <f>IF(Loads!C25&lt;&gt;"", D9, "")</f>
        <v>CHS 193.7x6</v>
      </c>
      <c r="E122" s="206">
        <v>23.1</v>
      </c>
      <c r="F122" s="207">
        <v>-296</v>
      </c>
      <c r="G122" s="20">
        <f>IF(Loads!C25&lt;&gt;"", G96, "")</f>
        <v>35.380000000000003</v>
      </c>
      <c r="H122" s="17">
        <f>IF(Loads!C25&lt;&gt;"",E122+F122,"")</f>
        <v>-272.89999999999998</v>
      </c>
      <c r="I122" s="13">
        <f>IF(Loads!C25&lt;&gt;"", G122*$D$75/$D$76, "")</f>
        <v>831.43000000000006</v>
      </c>
      <c r="J122" s="6">
        <f>IF(Loads!C25&lt;&gt;"", I122/ABS(H122), "")</f>
        <v>3.0466471234884578</v>
      </c>
      <c r="K122" s="9">
        <f>IF(Loads!C25&lt;&gt;"",ABS(H122)/I122,"")</f>
        <v>0.32822967658131169</v>
      </c>
      <c r="L122" s="43" t="str">
        <f>IF(Loads!C25&lt;&gt;"", IF(K122&lt;1,"OK!","NG!"), "")</f>
        <v>OK!</v>
      </c>
    </row>
    <row r="123" spans="3:15" x14ac:dyDescent="0.25">
      <c r="C123" s="23">
        <v>3</v>
      </c>
      <c r="D123" s="20" t="str">
        <f>IF(Loads!C26&lt;&gt;"", D10, "")</f>
        <v>CHS 177.8x6.3</v>
      </c>
      <c r="E123" s="206">
        <v>23.2</v>
      </c>
      <c r="F123" s="207">
        <v>-272</v>
      </c>
      <c r="G123" s="20">
        <f>IF(Loads!C26&lt;&gt;"", G97, "")</f>
        <v>32.380000000000003</v>
      </c>
      <c r="H123" s="17">
        <f>IF(Loads!C26&lt;&gt;"",E123+F123,"")</f>
        <v>-248.8</v>
      </c>
      <c r="I123" s="13">
        <f>IF(Loads!C26&lt;&gt;"", G123*$D$75/$D$76, "")</f>
        <v>760.93000000000006</v>
      </c>
      <c r="J123" s="6">
        <f>IF(Loads!C26&lt;&gt;"", I123/ABS(H123), "")</f>
        <v>3.0584003215434086</v>
      </c>
      <c r="K123" s="9">
        <f>IF(Loads!C26&lt;&gt;"",ABS(H123)/I123,"")</f>
        <v>0.32696831508811586</v>
      </c>
      <c r="L123" s="43" t="str">
        <f>IF(Loads!C26&lt;&gt;"", IF(K123&lt;1,"OK!","NG!"), "")</f>
        <v>OK!</v>
      </c>
    </row>
    <row r="124" spans="3:15" x14ac:dyDescent="0.25">
      <c r="C124" s="23">
        <v>4</v>
      </c>
      <c r="D124" s="20" t="str">
        <f>IF(Loads!C27&lt;&gt;"", D11, "")</f>
        <v>CHS 168.3x6</v>
      </c>
      <c r="E124" s="206">
        <v>30.23</v>
      </c>
      <c r="F124" s="207">
        <v>-231</v>
      </c>
      <c r="G124" s="20">
        <f>IF(Loads!C27&lt;&gt;"", G98, "")</f>
        <v>30.59</v>
      </c>
      <c r="H124" s="17">
        <f>IF(Loads!C27&lt;&gt;"",E124+F124,"")</f>
        <v>-200.77</v>
      </c>
      <c r="I124" s="13">
        <f>IF(Loads!C27&lt;&gt;"", G124*$D$75/$D$76, "")</f>
        <v>718.86500000000001</v>
      </c>
      <c r="J124" s="6">
        <f>IF(Loads!C27&lt;&gt;"", I124/ABS(H124), "")</f>
        <v>3.5805399213029836</v>
      </c>
      <c r="K124" s="9">
        <f>IF(Loads!C27&lt;&gt;"",ABS(H124)/I124,"")</f>
        <v>0.2792874879149771</v>
      </c>
      <c r="L124" s="43" t="str">
        <f>IF(Loads!C27&lt;&gt;"", IF(K124&lt;1,"OK!","NG!"), "")</f>
        <v>OK!</v>
      </c>
    </row>
    <row r="125" spans="3:15" x14ac:dyDescent="0.25">
      <c r="C125" s="23">
        <v>5</v>
      </c>
      <c r="D125" s="20" t="str">
        <f>IF(Loads!C28&lt;&gt;"", D12, "")</f>
        <v>CHS 139.7x6.3</v>
      </c>
      <c r="E125" s="206">
        <v>28.02</v>
      </c>
      <c r="F125" s="207">
        <v>-160</v>
      </c>
      <c r="G125" s="20">
        <f>IF(Loads!C28&lt;&gt;"", G99, "")</f>
        <v>26.4</v>
      </c>
      <c r="H125" s="17">
        <f>IF(Loads!C28&lt;&gt;"",E125+F125,"")</f>
        <v>-131.97999999999999</v>
      </c>
      <c r="I125" s="13">
        <f>IF(Loads!C28&lt;&gt;"", G125*$D$75/$D$76, "")</f>
        <v>620.4</v>
      </c>
      <c r="J125" s="6">
        <f>IF(Loads!C28&lt;&gt;"", I125/ABS(H125), "")</f>
        <v>4.7007122291256254</v>
      </c>
      <c r="K125" s="9">
        <f>IF(Loads!C28&lt;&gt;"",ABS(H125)/I125,"")</f>
        <v>0.21273372018052869</v>
      </c>
      <c r="L125" s="43" t="str">
        <f>IF(Loads!C28&lt;&gt;"", IF(K125&lt;1,"OK!","NG!"), "")</f>
        <v>OK!</v>
      </c>
    </row>
    <row r="126" spans="3:15" x14ac:dyDescent="0.25">
      <c r="C126" s="23">
        <v>6</v>
      </c>
      <c r="D126" s="20" t="str">
        <f>IF(Loads!C29&lt;&gt;"", D13, "")</f>
        <v>CHS 177.8x6.3</v>
      </c>
      <c r="E126" s="206">
        <v>28.78</v>
      </c>
      <c r="F126" s="207">
        <v>-92</v>
      </c>
      <c r="G126" s="20">
        <f>IF(Loads!C29&lt;&gt;"", G100, "")</f>
        <v>32.380000000000003</v>
      </c>
      <c r="H126" s="17">
        <f>IF(Loads!C29&lt;&gt;"",E126+F126,"")</f>
        <v>-63.22</v>
      </c>
      <c r="I126" s="13">
        <f>IF(Loads!C29&lt;&gt;"", G126*$D$75/$D$76, "")</f>
        <v>760.93000000000006</v>
      </c>
      <c r="J126" s="6">
        <f>IF(Loads!C29&lt;&gt;"", I126/ABS(H126), "")</f>
        <v>12.03622271433091</v>
      </c>
      <c r="K126" s="9">
        <f>IF(Loads!C29&lt;&gt;"",ABS(H126)/I126,"")</f>
        <v>8.308254372938377E-2</v>
      </c>
      <c r="L126" s="43" t="str">
        <f>IF(Loads!C29&lt;&gt;"", IF(K126&lt;1,"OK!","NG!"), "")</f>
        <v>OK!</v>
      </c>
    </row>
    <row r="127" spans="3:15" x14ac:dyDescent="0.25">
      <c r="C127" s="23">
        <v>7</v>
      </c>
      <c r="D127" s="20" t="str">
        <f>IF(Loads!C30&lt;&gt;"", D14, "")</f>
        <v/>
      </c>
      <c r="E127" s="106"/>
      <c r="F127" s="189"/>
      <c r="G127" s="20" t="str">
        <f>IF(Loads!C30&lt;&gt;"", G101, "")</f>
        <v/>
      </c>
      <c r="H127" s="17" t="str">
        <f>IF(Loads!C30&lt;&gt;"",E127+F127,"")</f>
        <v/>
      </c>
      <c r="I127" s="13" t="str">
        <f>IF(Loads!C30&lt;&gt;"", G127*$D$75/$D$76, "")</f>
        <v/>
      </c>
      <c r="J127" s="6" t="str">
        <f>IF(Loads!C30&lt;&gt;"", I127/ABS(H127), "")</f>
        <v/>
      </c>
      <c r="K127" s="9" t="str">
        <f>IF(Loads!C30&lt;&gt;"",ABS(H127)/I127,"")</f>
        <v/>
      </c>
      <c r="L127" s="43" t="str">
        <f>IF(Loads!C30&lt;&gt;"", IF(K127&lt;1,"OK!","NG!"), "")</f>
        <v/>
      </c>
    </row>
    <row r="128" spans="3:15" x14ac:dyDescent="0.25">
      <c r="C128" s="23">
        <v>8</v>
      </c>
      <c r="D128" s="20" t="str">
        <f>IF(Loads!C31&lt;&gt;"", D15, "")</f>
        <v/>
      </c>
      <c r="E128" s="106"/>
      <c r="F128" s="189"/>
      <c r="G128" s="20" t="str">
        <f>IF(Loads!C31&lt;&gt;"", G102, "")</f>
        <v/>
      </c>
      <c r="H128" s="17" t="str">
        <f>IF(Loads!C31&lt;&gt;"",E128+F128,"")</f>
        <v/>
      </c>
      <c r="I128" s="13" t="str">
        <f>IF(Loads!C31&lt;&gt;"", G128*$D$75/$D$76, "")</f>
        <v/>
      </c>
      <c r="J128" s="6" t="str">
        <f>IF(Loads!C31&lt;&gt;"", I128/ABS(H128), "")</f>
        <v/>
      </c>
      <c r="K128" s="9" t="str">
        <f>IF(Loads!C31&lt;&gt;"",ABS(H128)/I128,"")</f>
        <v/>
      </c>
      <c r="L128" s="43" t="str">
        <f>IF(Loads!C31&lt;&gt;"", IF(K128&lt;1,"OK!","NG!"), "")</f>
        <v/>
      </c>
    </row>
    <row r="129" spans="3:14" ht="15.75" thickBot="1" x14ac:dyDescent="0.3">
      <c r="C129" s="27">
        <v>9</v>
      </c>
      <c r="D129" s="154" t="str">
        <f>IF(Loads!C32&lt;&gt;"", D16, "")</f>
        <v/>
      </c>
      <c r="E129" s="178"/>
      <c r="F129" s="190"/>
      <c r="G129" s="154" t="str">
        <f>IF(Loads!C32&lt;&gt;"", G103, "")</f>
        <v/>
      </c>
      <c r="H129" s="191" t="str">
        <f>IF(Loads!C32&lt;&gt;"",E129+F129,"")</f>
        <v/>
      </c>
      <c r="I129" s="55" t="str">
        <f>IF(Loads!C32&lt;&gt;"", G129*$D$75/$D$76, "")</f>
        <v/>
      </c>
      <c r="J129" s="82" t="str">
        <f>IF(Loads!C32&lt;&gt;"", I129/ABS(H129), "")</f>
        <v/>
      </c>
      <c r="K129" s="28" t="str">
        <f>IF(Loads!C32&lt;&gt;"",ABS(H129)/I129,"")</f>
        <v/>
      </c>
      <c r="L129" s="56" t="str">
        <f>IF(Loads!C32&lt;&gt;"", IF(K129&lt;1,"OK!","NG!"), "")</f>
        <v/>
      </c>
    </row>
    <row r="130" spans="3:14" ht="15.75" thickBot="1" x14ac:dyDescent="0.3">
      <c r="D130" s="20"/>
      <c r="E130" s="4"/>
      <c r="F130" s="11"/>
      <c r="G130" s="20"/>
      <c r="H130" s="17"/>
      <c r="I130" s="13"/>
      <c r="J130" s="6"/>
      <c r="K130" s="9"/>
      <c r="L130" s="2"/>
    </row>
    <row r="131" spans="3:14" ht="15.75" x14ac:dyDescent="0.25">
      <c r="C131" s="167" t="s">
        <v>263</v>
      </c>
      <c r="D131" s="185"/>
      <c r="E131" s="165"/>
      <c r="F131" s="165"/>
      <c r="G131" s="185"/>
      <c r="H131" s="165"/>
      <c r="I131" s="177"/>
      <c r="J131" s="165"/>
      <c r="K131" s="158"/>
      <c r="L131" s="158"/>
      <c r="M131" s="160"/>
      <c r="N131" s="129"/>
    </row>
    <row r="132" spans="3:14" x14ac:dyDescent="0.25">
      <c r="C132" s="151" t="s">
        <v>3</v>
      </c>
      <c r="D132" s="127" t="s">
        <v>63</v>
      </c>
      <c r="E132" s="127" t="s">
        <v>105</v>
      </c>
      <c r="F132" s="127" t="s">
        <v>104</v>
      </c>
      <c r="G132" s="127" t="s">
        <v>106</v>
      </c>
      <c r="H132" s="127" t="s">
        <v>73</v>
      </c>
      <c r="I132" s="127" t="s">
        <v>74</v>
      </c>
      <c r="J132" s="127" t="s">
        <v>75</v>
      </c>
      <c r="K132" s="127" t="s">
        <v>25</v>
      </c>
      <c r="L132" s="127" t="s">
        <v>76</v>
      </c>
      <c r="M132" s="127" t="s">
        <v>67</v>
      </c>
      <c r="N132" s="24"/>
    </row>
    <row r="133" spans="3:14" ht="15.75" thickBot="1" x14ac:dyDescent="0.3">
      <c r="C133" s="27" cm="1">
        <f t="array" ref="C133">IF(COUNT(F108:F116) &lt; 6, "not relevant", INDEX(C108:C116, COUNT(F108:F116)))</f>
        <v>6</v>
      </c>
      <c r="D133" s="154" t="str">
        <f>IF($C$133="not relevant", "", INDEX($C$108:$N$116,MATCH($C$133,$C$108:$C$116),2))</f>
        <v>CHS 177.8x6.3</v>
      </c>
      <c r="E133" s="154">
        <f>IF($C$133="not relevant", "", INDEX($C$108:$N$116,MATCH($C$133,$C$108:$C$116),3))</f>
        <v>28.78</v>
      </c>
      <c r="F133" s="154">
        <f>IF($C$133="not relevant", "", INDEX($C$108:$N$116,MATCH($C$133,$C$108:$C$116),4))</f>
        <v>91.74</v>
      </c>
      <c r="G133" s="154">
        <f>IF($C$133="not relevant", "", E133+Loads!C59*CBF_Seismic_Design_Verification!F133)</f>
        <v>319.41232000000002</v>
      </c>
      <c r="H133" s="154">
        <f>IF($C$133="not relevant", "", INDEX($C$108:$N$116,MATCH($C$133,$C$108:$C$116),6))</f>
        <v>1.0966646938581448</v>
      </c>
      <c r="I133" s="154">
        <f>IF($C$133="not relevant", "", INDEX($C$108:$N$116,MATCH($C$133,$C$108:$C$116),7))</f>
        <v>0.49</v>
      </c>
      <c r="J133" s="154">
        <f>IF($C$133="not relevant", "", INDEX($C$108:$N$116,MATCH($C$133,$C$108:$C$116),8))</f>
        <v>1.3210195753727347</v>
      </c>
      <c r="K133" s="154">
        <f>IF($C$133="not relevant", "", INDEX($C$108:$N$116,MATCH($C$133,$C$108:$C$116),9))</f>
        <v>0.48602418929728419</v>
      </c>
      <c r="L133" s="154">
        <f>IF($C$133="not relevant", "", INDEX($C$108:$N$116,MATCH($C$133,$C$108:$C$116),10))</f>
        <v>336.20944214725682</v>
      </c>
      <c r="M133" s="28">
        <f>IF($C$133="not relevant","",G133/L133)</f>
        <v>0.95003970727300457</v>
      </c>
      <c r="N133" s="56" t="str">
        <f>IF($C$133="not relevant", "OK!", IF(M133&lt;1,"OK!","NG!"))</f>
        <v>OK!</v>
      </c>
    </row>
    <row r="134" spans="3:14" ht="15.75" thickBot="1" x14ac:dyDescent="0.3"/>
    <row r="135" spans="3:14" ht="15.75" x14ac:dyDescent="0.25">
      <c r="C135" s="167" t="s">
        <v>287</v>
      </c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29"/>
    </row>
    <row r="136" spans="3:14" x14ac:dyDescent="0.25">
      <c r="C136" s="184"/>
      <c r="N136" s="24"/>
    </row>
    <row r="137" spans="3:14" x14ac:dyDescent="0.25">
      <c r="C137" s="151" t="s">
        <v>3</v>
      </c>
      <c r="D137" s="127" t="s">
        <v>63</v>
      </c>
      <c r="E137" s="127" t="s">
        <v>102</v>
      </c>
      <c r="F137" s="127" t="s">
        <v>265</v>
      </c>
      <c r="N137" s="24"/>
    </row>
    <row r="138" spans="3:14" x14ac:dyDescent="0.25">
      <c r="C138" s="23">
        <v>1</v>
      </c>
      <c r="D138" s="5" t="str">
        <f>IF(Loads!C24&lt;&gt;"", D121, "")</f>
        <v>CHS 193.7x6</v>
      </c>
      <c r="E138" s="9">
        <f>IF(Loads!C24&lt;&gt;"", M108, "")</f>
        <v>1.1218616794177649</v>
      </c>
      <c r="F138" s="6">
        <f>IF(Loads!C24&lt;&gt;"", E138/$D$106, "")</f>
        <v>1</v>
      </c>
      <c r="G138" s="2" t="str">
        <f>IF(Loads!C24&lt;&gt;"", IF(AND(F138&gt;=0.75, F138&lt;=1.25),"OK!","NG!"), "")</f>
        <v>OK!</v>
      </c>
      <c r="H138" t="s">
        <v>332</v>
      </c>
      <c r="N138" s="24"/>
    </row>
    <row r="139" spans="3:14" x14ac:dyDescent="0.25">
      <c r="C139" s="23">
        <v>2</v>
      </c>
      <c r="D139" s="5" t="str">
        <f>IF(Loads!C25&lt;&gt;"", D122, "")</f>
        <v>CHS 193.7x6</v>
      </c>
      <c r="E139" s="9">
        <f>IF(Loads!C25&lt;&gt;"", M109, "")</f>
        <v>1.2744109385230353</v>
      </c>
      <c r="F139" s="6">
        <f>IF(Loads!C25&lt;&gt;"", E139/$D$106, "")</f>
        <v>1.1359786700125474</v>
      </c>
      <c r="G139" s="2" t="str">
        <f>IF(Loads!C25&lt;&gt;"", IF(AND(F139&gt;=0.75, F139&lt;=1.25),"OK!","NG!"), "")</f>
        <v>OK!</v>
      </c>
      <c r="N139" s="24"/>
    </row>
    <row r="140" spans="3:14" x14ac:dyDescent="0.25">
      <c r="C140" s="23">
        <v>3</v>
      </c>
      <c r="D140" s="5" t="str">
        <f>IF(Loads!C26&lt;&gt;"", D123, "")</f>
        <v>CHS 177.8x6.3</v>
      </c>
      <c r="E140" s="9">
        <f>IF(Loads!C26&lt;&gt;"", M110, "")</f>
        <v>1.1385351918295186</v>
      </c>
      <c r="F140" s="6">
        <f>IF(Loads!C26&lt;&gt;"", E140/$D$106, "")</f>
        <v>1.014862360233578</v>
      </c>
      <c r="G140" s="2" t="str">
        <f>IF(Loads!C26&lt;&gt;"", IF(AND(F140&gt;=0.75, F140&lt;=1.25),"OK!","NG!"), "")</f>
        <v>OK!</v>
      </c>
      <c r="N140" s="24"/>
    </row>
    <row r="141" spans="3:14" x14ac:dyDescent="0.25">
      <c r="C141" s="23">
        <v>4</v>
      </c>
      <c r="D141" s="5" t="str">
        <f>IF(Loads!C27&lt;&gt;"", D124, "")</f>
        <v>CHS 168.3x6</v>
      </c>
      <c r="E141" s="9">
        <f>IF(Loads!C27&lt;&gt;"", M111, "")</f>
        <v>1.1337237478289646</v>
      </c>
      <c r="F141" s="6">
        <f>IF(Loads!C27&lt;&gt;"", E141/$D$106, "")</f>
        <v>1.0105735569980034</v>
      </c>
      <c r="G141" s="2" t="str">
        <f>IF(Loads!C27&lt;&gt;"", IF(AND(F141&gt;=0.75, F141&lt;=1.25),"OK!","NG!"), "")</f>
        <v>OK!</v>
      </c>
      <c r="N141" s="24"/>
    </row>
    <row r="142" spans="3:14" x14ac:dyDescent="0.25">
      <c r="C142" s="23">
        <v>5</v>
      </c>
      <c r="D142" s="5" t="str">
        <f>IF(Loads!C28&lt;&gt;"", D125, "")</f>
        <v>CHS 139.7x6.3</v>
      </c>
      <c r="E142" s="9">
        <f>IF(Loads!C28&lt;&gt;"", M112, "")</f>
        <v>1.0363559158788309</v>
      </c>
      <c r="F142" s="6">
        <f>IF(Loads!C28&lt;&gt;"", E142/$D$106, "")</f>
        <v>0.92378225844801953</v>
      </c>
      <c r="G142" s="2" t="str">
        <f>IF(Loads!C28&lt;&gt;"", IF(AND(F142&gt;=0.75, F142&lt;=1.25),"OK!","NG!"), "")</f>
        <v>OK!</v>
      </c>
      <c r="N142" s="24"/>
    </row>
    <row r="143" spans="3:14" x14ac:dyDescent="0.25">
      <c r="C143" s="23">
        <v>6</v>
      </c>
      <c r="D143" s="5" t="str">
        <f>IF(Loads!C29&lt;&gt;"", D126, "")</f>
        <v>CHS 177.8x6.3</v>
      </c>
      <c r="E143" s="9">
        <f>IF(Loads!C29&lt;&gt;"", M113, "")</f>
        <v>2.7896568382613411</v>
      </c>
      <c r="F143" s="6">
        <f>IF(Loads!C29&lt;&gt;"", E143/$D$106, "")</f>
        <v>2.4866317206851609</v>
      </c>
      <c r="G143" s="2" t="str">
        <f>IF(Loads!C29&lt;&gt;"", IF(AND(F143&gt;=0.75, F143&lt;=1.25),"OK!","NG!"), "")</f>
        <v>NG!</v>
      </c>
      <c r="N143" s="24"/>
    </row>
    <row r="144" spans="3:14" x14ac:dyDescent="0.25">
      <c r="C144" s="23">
        <v>7</v>
      </c>
      <c r="D144" s="5" t="str">
        <f>IF(Loads!C30&lt;&gt;"", D127, "")</f>
        <v/>
      </c>
      <c r="E144" s="9" t="str">
        <f>IF(Loads!C30&lt;&gt;"", M114, "")</f>
        <v/>
      </c>
      <c r="F144" s="6" t="str">
        <f>IF(Loads!C30&lt;&gt;"", E144/$D$106, "")</f>
        <v/>
      </c>
      <c r="G144" s="2" t="str">
        <f>IF(Loads!C30&lt;&gt;"", IF(AND(F144&gt;=0.75, F144&lt;=1.25),"OK!","NG!"), "")</f>
        <v/>
      </c>
      <c r="N144" s="24"/>
    </row>
    <row r="145" spans="3:18" x14ac:dyDescent="0.25">
      <c r="C145" s="23">
        <v>8</v>
      </c>
      <c r="D145" s="5" t="str">
        <f>IF(Loads!C31&lt;&gt;"", D128, "")</f>
        <v/>
      </c>
      <c r="E145" s="9" t="str">
        <f>IF(Loads!C31&lt;&gt;"", M115, "")</f>
        <v/>
      </c>
      <c r="F145" s="6" t="str">
        <f>IF(Loads!C31&lt;&gt;"", E145/$D$106, "")</f>
        <v/>
      </c>
      <c r="G145" s="2" t="str">
        <f>IF(Loads!C31&lt;&gt;"", IF(AND(F145&gt;=0.75, F145&lt;=1.25),"OK!","NG!"), "")</f>
        <v/>
      </c>
      <c r="N145" s="24"/>
    </row>
    <row r="146" spans="3:18" ht="15.75" thickBot="1" x14ac:dyDescent="0.3">
      <c r="C146" s="27">
        <v>9</v>
      </c>
      <c r="D146" s="38" t="str">
        <f>IF(Loads!C32&lt;&gt;"", D129, "")</f>
        <v/>
      </c>
      <c r="E146" s="28" t="str">
        <f>IF(Loads!C32&lt;&gt;"", M116, "")</f>
        <v/>
      </c>
      <c r="F146" s="82" t="str">
        <f>IF(Loads!C32&lt;&gt;"", E146/$D$106, "")</f>
        <v/>
      </c>
      <c r="G146" s="64" t="str">
        <f>IF(Loads!C32&lt;&gt;"", IF(AND(F146&gt;=0.75, F146&lt;=1.25),"OK!","NG!"), "")</f>
        <v/>
      </c>
      <c r="H146" s="29"/>
      <c r="I146" s="29"/>
      <c r="J146" s="29"/>
      <c r="K146" s="29"/>
      <c r="L146" s="29"/>
      <c r="M146" s="29"/>
      <c r="N146" s="30"/>
    </row>
    <row r="148" spans="3:18" x14ac:dyDescent="0.25">
      <c r="C148" s="15" t="s">
        <v>88</v>
      </c>
    </row>
    <row r="150" spans="3:18" x14ac:dyDescent="0.25">
      <c r="C150" t="s">
        <v>101</v>
      </c>
      <c r="D150" s="16" t="s">
        <v>258</v>
      </c>
      <c r="E150" s="6">
        <f>D119</f>
        <v>2.6356950388334131</v>
      </c>
    </row>
    <row r="151" spans="3:18" ht="18" x14ac:dyDescent="0.35">
      <c r="C151" t="s">
        <v>274</v>
      </c>
      <c r="D151" s="16" t="s">
        <v>118</v>
      </c>
      <c r="E151" s="6">
        <f>'Cross Sections and Materials'!Q9</f>
        <v>1.45</v>
      </c>
    </row>
    <row r="152" spans="3:18" ht="18" x14ac:dyDescent="0.35">
      <c r="C152" t="s">
        <v>275</v>
      </c>
      <c r="D152" s="16" t="s">
        <v>119</v>
      </c>
      <c r="E152" s="6">
        <f>'Cross Sections and Materials'!Q10</f>
        <v>1.1000000000000001</v>
      </c>
    </row>
    <row r="153" spans="3:18" ht="18" x14ac:dyDescent="0.35">
      <c r="C153" t="s">
        <v>337</v>
      </c>
      <c r="D153" s="16" t="s">
        <v>336</v>
      </c>
      <c r="E153" s="5">
        <v>0.3</v>
      </c>
    </row>
    <row r="154" spans="3:18" ht="15.75" thickBot="1" x14ac:dyDescent="0.3">
      <c r="D154" s="16"/>
    </row>
    <row r="155" spans="3:18" ht="15.75" x14ac:dyDescent="0.25">
      <c r="C155" s="167" t="s">
        <v>273</v>
      </c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29"/>
    </row>
    <row r="156" spans="3:18" x14ac:dyDescent="0.25">
      <c r="C156" s="26" t="s">
        <v>146</v>
      </c>
      <c r="D156" s="106">
        <v>43</v>
      </c>
      <c r="E156" t="s">
        <v>277</v>
      </c>
      <c r="R156" s="24"/>
    </row>
    <row r="157" spans="3:18" x14ac:dyDescent="0.25">
      <c r="C157" s="151" t="s">
        <v>266</v>
      </c>
      <c r="D157" s="127" t="s">
        <v>267</v>
      </c>
      <c r="E157" s="127" t="s">
        <v>268</v>
      </c>
      <c r="F157" s="127"/>
      <c r="G157" s="127" t="s">
        <v>271</v>
      </c>
      <c r="H157" s="127" t="s">
        <v>104</v>
      </c>
      <c r="I157" s="127" t="s">
        <v>269</v>
      </c>
      <c r="J157" s="127"/>
      <c r="K157" s="127" t="s">
        <v>272</v>
      </c>
      <c r="L157" s="127" t="s">
        <v>106</v>
      </c>
      <c r="M157" s="127" t="s">
        <v>270</v>
      </c>
      <c r="R157" s="24"/>
    </row>
    <row r="158" spans="3:18" x14ac:dyDescent="0.25">
      <c r="C158" s="216">
        <v>7718</v>
      </c>
      <c r="D158" s="206">
        <v>-18.329999999999998</v>
      </c>
      <c r="E158" s="106">
        <v>0</v>
      </c>
      <c r="G158" s="106">
        <v>0</v>
      </c>
      <c r="H158" s="206">
        <v>-258.2</v>
      </c>
      <c r="I158" s="106">
        <v>0</v>
      </c>
      <c r="K158" s="5">
        <f>C158+$E$150*$E$151*$E$152*G158</f>
        <v>7718</v>
      </c>
      <c r="L158" s="5">
        <f>D158+$E$150*$E$151*$E$152*H158</f>
        <v>-1103.7856521477256</v>
      </c>
      <c r="M158" s="5">
        <f t="shared" ref="M158" si="0">E158+$E$150*$E$151*$E$152*I158</f>
        <v>0</v>
      </c>
      <c r="R158" s="24"/>
    </row>
    <row r="159" spans="3:18" x14ac:dyDescent="0.25">
      <c r="C159" s="52"/>
      <c r="D159" s="4"/>
      <c r="E159" s="4"/>
      <c r="G159" s="4"/>
      <c r="H159" s="4"/>
      <c r="I159" s="4"/>
      <c r="K159" s="5"/>
      <c r="L159" s="5"/>
      <c r="M159" s="5"/>
      <c r="R159" s="24"/>
    </row>
    <row r="160" spans="3:18" ht="18" x14ac:dyDescent="0.35">
      <c r="C160" s="151" t="s">
        <v>63</v>
      </c>
      <c r="D160" s="127" t="s">
        <v>96</v>
      </c>
      <c r="E160" s="127" t="s">
        <v>97</v>
      </c>
      <c r="F160" s="127" t="s">
        <v>110</v>
      </c>
      <c r="G160" s="127" t="s">
        <v>99</v>
      </c>
      <c r="H160" s="127" t="s">
        <v>111</v>
      </c>
      <c r="I160" s="127" t="s">
        <v>100</v>
      </c>
      <c r="J160" s="127" t="s">
        <v>98</v>
      </c>
      <c r="K160" s="127" t="s">
        <v>107</v>
      </c>
      <c r="L160" s="127" t="s">
        <v>108</v>
      </c>
      <c r="M160" s="127" t="s">
        <v>109</v>
      </c>
      <c r="N160" s="127" t="s">
        <v>116</v>
      </c>
      <c r="O160" s="127" t="s">
        <v>112</v>
      </c>
      <c r="P160" s="127" t="s">
        <v>113</v>
      </c>
      <c r="R160" s="24"/>
    </row>
    <row r="161" spans="3:18" x14ac:dyDescent="0.25">
      <c r="C161" s="75" t="str">
        <f>'Cross Sections and Materials'!B5</f>
        <v>IPE 360</v>
      </c>
      <c r="D161" s="18">
        <f>'Cross Sections and Materials'!E5</f>
        <v>23950</v>
      </c>
      <c r="E161" s="18">
        <f>'Cross Sections and Materials'!F5</f>
        <v>1709</v>
      </c>
      <c r="F161" s="18">
        <f>'Cross Sections and Materials'!H5</f>
        <v>17</v>
      </c>
      <c r="G161" s="18">
        <f>'Cross Sections and Materials'!I5</f>
        <v>0.8</v>
      </c>
      <c r="H161" s="18">
        <f>'Cross Sections and Materials'!J5</f>
        <v>1.27</v>
      </c>
      <c r="I161" s="18">
        <f>'Cross Sections and Materials'!K5</f>
        <v>72.7</v>
      </c>
      <c r="J161" s="18">
        <f>'Cross Sections and Materials'!M5</f>
        <v>33.46</v>
      </c>
      <c r="K161" s="18" t="str">
        <f>IF(MIN(0.25*E161, 0.5*J161*G161*$D$75/$D$76) &lt; ABS(L158), "JA", "NEIN")</f>
        <v>JA</v>
      </c>
      <c r="L161" s="9">
        <f>IF(K161="JA", ABS(L158)/E161, 0)</f>
        <v>0.64586638510691963</v>
      </c>
      <c r="M161" s="9">
        <f>IF(K161="JA", MIN((I161-2*F161*H161)/I161, 0.5), 0)</f>
        <v>0.40605226960110041</v>
      </c>
      <c r="N161" s="13">
        <f>MIN(D161, D161*(1-L161)/(1-0.5*M161))</f>
        <v>10642.130748624617</v>
      </c>
      <c r="O161" s="9">
        <f>ABS(L158)/E161</f>
        <v>0.64586638510691963</v>
      </c>
      <c r="P161" s="9">
        <f>K158/N161</f>
        <v>0.72523070635995246</v>
      </c>
      <c r="Q161" s="2" t="str">
        <f>IF(P161&lt;1,"OK!","NG!")</f>
        <v>OK!</v>
      </c>
      <c r="R161" s="24"/>
    </row>
    <row r="162" spans="3:18" x14ac:dyDescent="0.25">
      <c r="C162" s="75"/>
      <c r="D162" s="18"/>
      <c r="E162" s="18"/>
      <c r="F162" s="18"/>
      <c r="G162" s="18"/>
      <c r="H162" s="18"/>
      <c r="I162" s="18"/>
      <c r="J162" s="18"/>
      <c r="K162" s="18"/>
      <c r="L162" s="9"/>
      <c r="M162" s="9"/>
      <c r="N162" s="13"/>
      <c r="O162" s="9"/>
      <c r="P162" s="9"/>
      <c r="Q162" s="2"/>
      <c r="R162" s="24"/>
    </row>
    <row r="163" spans="3:18" x14ac:dyDescent="0.25">
      <c r="C163" s="26" t="s">
        <v>146</v>
      </c>
      <c r="D163" s="4">
        <v>41</v>
      </c>
      <c r="E163" t="s">
        <v>288</v>
      </c>
      <c r="R163" s="24"/>
    </row>
    <row r="164" spans="3:18" x14ac:dyDescent="0.25">
      <c r="C164" s="151" t="s">
        <v>266</v>
      </c>
      <c r="D164" s="127" t="s">
        <v>267</v>
      </c>
      <c r="E164" s="127" t="s">
        <v>268</v>
      </c>
      <c r="F164" s="127"/>
      <c r="G164" s="127" t="s">
        <v>271</v>
      </c>
      <c r="H164" s="127" t="s">
        <v>104</v>
      </c>
      <c r="I164" s="127" t="s">
        <v>269</v>
      </c>
      <c r="J164" s="127"/>
      <c r="K164" s="127" t="s">
        <v>272</v>
      </c>
      <c r="L164" s="127" t="s">
        <v>106</v>
      </c>
      <c r="M164" s="127" t="s">
        <v>270</v>
      </c>
      <c r="R164" s="24"/>
    </row>
    <row r="165" spans="3:18" x14ac:dyDescent="0.25">
      <c r="C165" s="216">
        <v>7718</v>
      </c>
      <c r="D165" s="206">
        <v>-18.329999999999998</v>
      </c>
      <c r="E165" s="106">
        <v>0</v>
      </c>
      <c r="G165" s="106">
        <v>0</v>
      </c>
      <c r="H165" s="206">
        <v>258.2</v>
      </c>
      <c r="I165" s="106">
        <v>0</v>
      </c>
      <c r="K165" s="5">
        <f>C165+$E$150*$E$151*$E$152*G165</f>
        <v>7718</v>
      </c>
      <c r="L165" s="5">
        <f>D165+$E$150*$E$151*$E$152*H165</f>
        <v>1067.1256521477258</v>
      </c>
      <c r="M165" s="5">
        <f t="shared" ref="M165" si="1">E165+$E$150*$E$151*$E$152*I165</f>
        <v>0</v>
      </c>
      <c r="R165" s="24"/>
    </row>
    <row r="166" spans="3:18" x14ac:dyDescent="0.25">
      <c r="C166" s="52"/>
      <c r="D166" s="4"/>
      <c r="E166" s="4"/>
      <c r="G166" s="4"/>
      <c r="H166" s="4"/>
      <c r="I166" s="4"/>
      <c r="K166" s="5"/>
      <c r="L166" s="5"/>
      <c r="M166" s="5"/>
      <c r="R166" s="24"/>
    </row>
    <row r="167" spans="3:18" ht="18" x14ac:dyDescent="0.35">
      <c r="C167" s="151" t="s">
        <v>63</v>
      </c>
      <c r="D167" s="127" t="s">
        <v>291</v>
      </c>
      <c r="E167" s="127" t="s">
        <v>97</v>
      </c>
      <c r="F167" s="127" t="s">
        <v>110</v>
      </c>
      <c r="G167" s="127" t="s">
        <v>99</v>
      </c>
      <c r="H167" s="127" t="s">
        <v>111</v>
      </c>
      <c r="I167" s="127" t="s">
        <v>100</v>
      </c>
      <c r="J167" s="127" t="s">
        <v>98</v>
      </c>
      <c r="K167" s="127" t="s">
        <v>107</v>
      </c>
      <c r="L167" s="127" t="s">
        <v>108</v>
      </c>
      <c r="M167" s="127" t="s">
        <v>109</v>
      </c>
      <c r="N167" s="127" t="s">
        <v>116</v>
      </c>
      <c r="O167" s="127" t="s">
        <v>112</v>
      </c>
      <c r="P167" s="127" t="s">
        <v>113</v>
      </c>
      <c r="R167" s="24"/>
    </row>
    <row r="168" spans="3:18" ht="15.75" thickBot="1" x14ac:dyDescent="0.3">
      <c r="C168" s="161" t="str">
        <f>C161</f>
        <v>IPE 360</v>
      </c>
      <c r="D168" s="154">
        <f>IF('Cross Sections and Materials'!$C$5 = 3, 'Cross Sections and Materials'!$D$5, 'Cross Sections and Materials'!$E$5)</f>
        <v>23950</v>
      </c>
      <c r="E168" s="154">
        <f t="shared" ref="E168:J168" si="2">E161</f>
        <v>1709</v>
      </c>
      <c r="F168" s="154">
        <f t="shared" si="2"/>
        <v>17</v>
      </c>
      <c r="G168" s="154">
        <f t="shared" si="2"/>
        <v>0.8</v>
      </c>
      <c r="H168" s="154">
        <f t="shared" si="2"/>
        <v>1.27</v>
      </c>
      <c r="I168" s="154">
        <f t="shared" si="2"/>
        <v>72.7</v>
      </c>
      <c r="J168" s="154">
        <f t="shared" si="2"/>
        <v>33.46</v>
      </c>
      <c r="K168" s="54" t="str">
        <f>IF(MIN(0.25*E168, 0.5*J168*G168*$D$75/$D$76) &lt; ABS(L165), "JA", "NEIN")</f>
        <v>JA</v>
      </c>
      <c r="L168" s="28">
        <f>IF(K168="JA", ABS(L165)/E168, 0)</f>
        <v>0.62441524408878046</v>
      </c>
      <c r="M168" s="28">
        <f>IF(K168="JA", MIN((I168-2*F168*H168)/I168, 0.5), 0)</f>
        <v>0.40605226960110041</v>
      </c>
      <c r="N168" s="55">
        <f>MIN(D168, D168*(1-L168)/(1-0.5*M168))</f>
        <v>11286.762711877091</v>
      </c>
      <c r="O168" s="28">
        <f>ABS(L165)/E168</f>
        <v>0.62441524408878046</v>
      </c>
      <c r="P168" s="28">
        <f>K165/N168</f>
        <v>0.68380989279400084</v>
      </c>
      <c r="Q168" s="64" t="str">
        <f>IF(P168&lt;1,"OK!","NG!")</f>
        <v>OK!</v>
      </c>
      <c r="R168" s="30"/>
    </row>
    <row r="169" spans="3:18" x14ac:dyDescent="0.25">
      <c r="C169" s="20"/>
      <c r="D169" s="20"/>
      <c r="E169" s="20"/>
      <c r="F169" s="20"/>
      <c r="G169" s="20"/>
      <c r="H169" s="20"/>
      <c r="I169" s="20"/>
      <c r="J169" s="20"/>
      <c r="K169" s="18"/>
      <c r="L169" s="9"/>
      <c r="M169" s="9"/>
      <c r="N169" s="13"/>
      <c r="O169" s="9"/>
      <c r="P169" s="9"/>
      <c r="Q169" s="2"/>
    </row>
    <row r="170" spans="3:18" ht="15.75" thickBot="1" x14ac:dyDescent="0.3">
      <c r="C170" s="20"/>
      <c r="D170" s="18"/>
      <c r="E170" s="18"/>
      <c r="F170" s="18"/>
      <c r="G170" s="18"/>
      <c r="H170" s="18"/>
      <c r="I170" s="18"/>
      <c r="J170" s="18"/>
      <c r="K170" s="18"/>
      <c r="L170" s="9"/>
      <c r="M170" s="9"/>
      <c r="N170" s="13"/>
      <c r="O170" s="9"/>
      <c r="P170" s="9"/>
      <c r="Q170" s="2"/>
    </row>
    <row r="171" spans="3:18" ht="15.75" x14ac:dyDescent="0.25">
      <c r="C171" s="167" t="s">
        <v>276</v>
      </c>
      <c r="D171" s="157"/>
      <c r="E171" s="157"/>
      <c r="F171" s="157"/>
      <c r="G171" s="157"/>
      <c r="H171" s="157"/>
      <c r="I171" s="157"/>
      <c r="J171" s="157"/>
      <c r="K171" s="157"/>
      <c r="L171" s="158"/>
      <c r="M171" s="158"/>
      <c r="N171" s="159"/>
      <c r="O171" s="158"/>
      <c r="P171" s="158"/>
      <c r="Q171" s="160"/>
      <c r="R171" s="129"/>
    </row>
    <row r="172" spans="3:18" x14ac:dyDescent="0.25">
      <c r="C172" s="26" t="s">
        <v>146</v>
      </c>
      <c r="D172" s="5">
        <f>D156</f>
        <v>43</v>
      </c>
      <c r="E172" t="s">
        <v>340</v>
      </c>
      <c r="N172" s="13"/>
      <c r="O172" s="9"/>
      <c r="P172" s="9"/>
      <c r="Q172" s="2"/>
      <c r="R172" s="24"/>
    </row>
    <row r="173" spans="3:18" x14ac:dyDescent="0.25">
      <c r="C173" s="151" t="s">
        <v>266</v>
      </c>
      <c r="D173" s="127" t="s">
        <v>267</v>
      </c>
      <c r="E173" s="127" t="s">
        <v>268</v>
      </c>
      <c r="F173" s="127"/>
      <c r="G173" s="127" t="s">
        <v>271</v>
      </c>
      <c r="H173" s="127" t="s">
        <v>104</v>
      </c>
      <c r="I173" s="127" t="s">
        <v>269</v>
      </c>
      <c r="J173" s="127"/>
      <c r="K173" s="127" t="s">
        <v>272</v>
      </c>
      <c r="L173" s="127" t="s">
        <v>106</v>
      </c>
      <c r="M173" s="127" t="s">
        <v>270</v>
      </c>
      <c r="N173" s="13"/>
      <c r="O173" s="9"/>
      <c r="P173" s="9"/>
      <c r="Q173" s="2"/>
      <c r="R173" s="24"/>
    </row>
    <row r="174" spans="3:18" x14ac:dyDescent="0.25">
      <c r="C174" s="75">
        <f>C158</f>
        <v>7718</v>
      </c>
      <c r="D174" s="18">
        <f>D158</f>
        <v>-18.329999999999998</v>
      </c>
      <c r="E174" s="18">
        <f>E158</f>
        <v>0</v>
      </c>
      <c r="F174" s="18"/>
      <c r="G174" s="18">
        <v>0</v>
      </c>
      <c r="H174" s="80">
        <f>-(F95/I95)*E151*L108</f>
        <v>-526.91528734323879</v>
      </c>
      <c r="I174" s="18">
        <v>0</v>
      </c>
      <c r="J174" s="18"/>
      <c r="K174" s="5">
        <f>C174+G174*G174</f>
        <v>7718</v>
      </c>
      <c r="L174" s="13">
        <f>D174+H174</f>
        <v>-545.24528734323883</v>
      </c>
      <c r="M174" s="5">
        <f t="shared" ref="M174" si="3">E174+I174*I174</f>
        <v>0</v>
      </c>
      <c r="N174" s="13"/>
      <c r="O174" s="9"/>
      <c r="P174" s="9"/>
      <c r="Q174" s="2"/>
      <c r="R174" s="24"/>
    </row>
    <row r="175" spans="3:18" x14ac:dyDescent="0.25">
      <c r="C175" s="75"/>
      <c r="D175" s="18"/>
      <c r="E175" s="18"/>
      <c r="F175" s="18"/>
      <c r="G175" s="18"/>
      <c r="H175" s="18"/>
      <c r="I175" s="18"/>
      <c r="J175" s="18"/>
      <c r="K175" s="18"/>
      <c r="L175" s="9"/>
      <c r="M175" s="9"/>
      <c r="N175" s="13"/>
      <c r="O175" s="9"/>
      <c r="P175" s="9"/>
      <c r="Q175" s="2"/>
      <c r="R175" s="24"/>
    </row>
    <row r="176" spans="3:18" ht="18" x14ac:dyDescent="0.35">
      <c r="C176" s="151" t="s">
        <v>63</v>
      </c>
      <c r="D176" s="127" t="s">
        <v>96</v>
      </c>
      <c r="E176" s="127" t="s">
        <v>97</v>
      </c>
      <c r="F176" s="127" t="s">
        <v>110</v>
      </c>
      <c r="G176" s="127" t="s">
        <v>99</v>
      </c>
      <c r="H176" s="127" t="s">
        <v>111</v>
      </c>
      <c r="I176" s="127" t="s">
        <v>100</v>
      </c>
      <c r="J176" s="127" t="s">
        <v>98</v>
      </c>
      <c r="K176" s="127" t="s">
        <v>107</v>
      </c>
      <c r="L176" s="127" t="s">
        <v>108</v>
      </c>
      <c r="M176" s="127" t="s">
        <v>109</v>
      </c>
      <c r="N176" s="127" t="s">
        <v>116</v>
      </c>
      <c r="O176" s="127" t="s">
        <v>112</v>
      </c>
      <c r="P176" s="127" t="s">
        <v>113</v>
      </c>
      <c r="Q176" s="2"/>
      <c r="R176" s="24"/>
    </row>
    <row r="177" spans="3:18" x14ac:dyDescent="0.25">
      <c r="C177" s="75" t="str">
        <f>C161</f>
        <v>IPE 360</v>
      </c>
      <c r="D177" s="20">
        <f t="shared" ref="D177:J177" si="4">D161</f>
        <v>23950</v>
      </c>
      <c r="E177" s="20">
        <f t="shared" si="4"/>
        <v>1709</v>
      </c>
      <c r="F177" s="20">
        <f t="shared" si="4"/>
        <v>17</v>
      </c>
      <c r="G177" s="20">
        <f t="shared" si="4"/>
        <v>0.8</v>
      </c>
      <c r="H177" s="20">
        <f t="shared" si="4"/>
        <v>1.27</v>
      </c>
      <c r="I177" s="20">
        <f t="shared" si="4"/>
        <v>72.7</v>
      </c>
      <c r="J177" s="20">
        <f t="shared" si="4"/>
        <v>33.46</v>
      </c>
      <c r="K177" s="18" t="str">
        <f>IF(MIN(0.25*E177, 0.5*J177*G177*$D$75/$D$76) &lt; ABS(L174), "JA", "NEIN")</f>
        <v>JA</v>
      </c>
      <c r="L177" s="9">
        <f>IF(K177="JA", ABS(L174)/E177, 0)</f>
        <v>0.31904346831084779</v>
      </c>
      <c r="M177" s="9">
        <f>IF(K177="JA", MIN((I177-2*F177*H177)/I177, 0.5), 0)</f>
        <v>0.40605226960110041</v>
      </c>
      <c r="N177" s="13">
        <f>MIN(D177, D177*(1-L177)/(1-0.5*M177))</f>
        <v>20463.542966837118</v>
      </c>
      <c r="O177" s="9">
        <f>ABS(L174)/E177</f>
        <v>0.31904346831084779</v>
      </c>
      <c r="P177" s="9">
        <f>K174/N177</f>
        <v>0.37715854055711001</v>
      </c>
      <c r="Q177" s="2" t="str">
        <f>IF(P177&lt;1,"OK!","NG!")</f>
        <v>OK!</v>
      </c>
      <c r="R177" s="24"/>
    </row>
    <row r="178" spans="3:18" x14ac:dyDescent="0.25">
      <c r="C178" s="75"/>
      <c r="D178" s="20"/>
      <c r="E178" s="20"/>
      <c r="F178" s="20"/>
      <c r="G178" s="20"/>
      <c r="H178" s="20"/>
      <c r="I178" s="20"/>
      <c r="J178" s="20"/>
      <c r="K178" s="18"/>
      <c r="L178" s="9"/>
      <c r="M178" s="9"/>
      <c r="N178" s="13"/>
      <c r="O178" s="9"/>
      <c r="P178" s="9"/>
      <c r="Q178" s="2"/>
      <c r="R178" s="24"/>
    </row>
    <row r="179" spans="3:18" x14ac:dyDescent="0.25">
      <c r="C179" s="26" t="s">
        <v>146</v>
      </c>
      <c r="D179" s="5">
        <f>D163</f>
        <v>41</v>
      </c>
      <c r="E179" t="s">
        <v>292</v>
      </c>
      <c r="N179" s="13"/>
      <c r="O179" s="9"/>
      <c r="P179" s="9"/>
      <c r="Q179" s="2"/>
      <c r="R179" s="24"/>
    </row>
    <row r="180" spans="3:18" x14ac:dyDescent="0.25">
      <c r="C180" s="151" t="s">
        <v>266</v>
      </c>
      <c r="D180" s="127" t="s">
        <v>267</v>
      </c>
      <c r="E180" s="127" t="s">
        <v>268</v>
      </c>
      <c r="F180" s="127"/>
      <c r="G180" s="127" t="s">
        <v>271</v>
      </c>
      <c r="H180" s="127" t="s">
        <v>104</v>
      </c>
      <c r="I180" s="127" t="s">
        <v>269</v>
      </c>
      <c r="J180" s="127"/>
      <c r="K180" s="127" t="s">
        <v>272</v>
      </c>
      <c r="L180" s="127" t="s">
        <v>106</v>
      </c>
      <c r="M180" s="127" t="s">
        <v>270</v>
      </c>
      <c r="N180" s="13"/>
      <c r="O180" s="9"/>
      <c r="P180" s="9"/>
      <c r="Q180" s="2"/>
      <c r="R180" s="24"/>
    </row>
    <row r="181" spans="3:18" x14ac:dyDescent="0.25">
      <c r="C181" s="75">
        <f>C165</f>
        <v>7718</v>
      </c>
      <c r="D181" s="18">
        <f>D165</f>
        <v>-18.329999999999998</v>
      </c>
      <c r="E181" s="18">
        <f>E165</f>
        <v>0</v>
      </c>
      <c r="F181" s="18"/>
      <c r="G181" s="18">
        <v>0</v>
      </c>
      <c r="H181" s="80">
        <f>-H174</f>
        <v>526.91528734323879</v>
      </c>
      <c r="I181" s="18">
        <v>0</v>
      </c>
      <c r="J181" s="18"/>
      <c r="K181" s="5">
        <f>C181+G181*G181</f>
        <v>7718</v>
      </c>
      <c r="L181" s="13">
        <f>D181+H181</f>
        <v>508.5852873432388</v>
      </c>
      <c r="M181" s="5">
        <f t="shared" ref="M181" si="5">E181+I181*I181</f>
        <v>0</v>
      </c>
      <c r="N181" s="13"/>
      <c r="O181" s="9"/>
      <c r="P181" s="9"/>
      <c r="Q181" s="2"/>
      <c r="R181" s="24"/>
    </row>
    <row r="182" spans="3:18" x14ac:dyDescent="0.25">
      <c r="C182" s="75"/>
      <c r="D182" s="18"/>
      <c r="E182" s="18"/>
      <c r="F182" s="18"/>
      <c r="G182" s="18"/>
      <c r="H182" s="18"/>
      <c r="I182" s="18"/>
      <c r="J182" s="18"/>
      <c r="K182" s="18"/>
      <c r="L182" s="9"/>
      <c r="M182" s="9"/>
      <c r="N182" s="13"/>
      <c r="O182" s="9"/>
      <c r="P182" s="9"/>
      <c r="Q182" s="2"/>
      <c r="R182" s="24"/>
    </row>
    <row r="183" spans="3:18" ht="18" x14ac:dyDescent="0.35">
      <c r="C183" s="151" t="s">
        <v>63</v>
      </c>
      <c r="D183" s="127" t="s">
        <v>96</v>
      </c>
      <c r="E183" s="127" t="s">
        <v>97</v>
      </c>
      <c r="F183" s="127" t="s">
        <v>110</v>
      </c>
      <c r="G183" s="127" t="s">
        <v>99</v>
      </c>
      <c r="H183" s="127" t="s">
        <v>111</v>
      </c>
      <c r="I183" s="127" t="s">
        <v>100</v>
      </c>
      <c r="J183" s="127" t="s">
        <v>98</v>
      </c>
      <c r="K183" s="127" t="s">
        <v>107</v>
      </c>
      <c r="L183" s="127" t="s">
        <v>108</v>
      </c>
      <c r="M183" s="127" t="s">
        <v>109</v>
      </c>
      <c r="N183" s="127" t="s">
        <v>116</v>
      </c>
      <c r="O183" s="127" t="s">
        <v>112</v>
      </c>
      <c r="P183" s="127" t="s">
        <v>113</v>
      </c>
      <c r="Q183" s="2"/>
      <c r="R183" s="24"/>
    </row>
    <row r="184" spans="3:18" ht="15.75" thickBot="1" x14ac:dyDescent="0.3">
      <c r="C184" s="161" t="str">
        <f>C168</f>
        <v>IPE 360</v>
      </c>
      <c r="D184" s="154">
        <f>IF('Cross Sections and Materials'!$C$5 = 3, 'Cross Sections and Materials'!$D$5, 'Cross Sections and Materials'!$E$5)</f>
        <v>23950</v>
      </c>
      <c r="E184" s="154">
        <f t="shared" ref="E184:J184" si="6">E168</f>
        <v>1709</v>
      </c>
      <c r="F184" s="154">
        <f t="shared" si="6"/>
        <v>17</v>
      </c>
      <c r="G184" s="154">
        <f t="shared" si="6"/>
        <v>0.8</v>
      </c>
      <c r="H184" s="154">
        <f t="shared" si="6"/>
        <v>1.27</v>
      </c>
      <c r="I184" s="154">
        <f t="shared" si="6"/>
        <v>72.7</v>
      </c>
      <c r="J184" s="154">
        <f t="shared" si="6"/>
        <v>33.46</v>
      </c>
      <c r="K184" s="54" t="str">
        <f>IF(MIN(0.25*E184, 0.5*J184*G184*$D$75/$D$76) &lt; ABS(L181), "JA", "NEIN")</f>
        <v>JA</v>
      </c>
      <c r="L184" s="28">
        <f>IF(K184="JA", ABS(L181)/E184, 0)</f>
        <v>0.29759232729270851</v>
      </c>
      <c r="M184" s="28">
        <f>IF(K184="JA", MIN((I184-2*F184*H184)/I184, 0.5), 0)</f>
        <v>0.40605226960110041</v>
      </c>
      <c r="N184" s="55">
        <f>MIN(D184, D184*(1-L184)/(1-0.5*M184))</f>
        <v>21108.174930089594</v>
      </c>
      <c r="O184" s="28">
        <f>ABS(L181)/E184</f>
        <v>0.29759232729270851</v>
      </c>
      <c r="P184" s="28">
        <f>K181/N184</f>
        <v>0.36564032776694638</v>
      </c>
      <c r="Q184" s="64" t="str">
        <f>IF(P184&lt;1,"OK!","NG!")</f>
        <v>OK!</v>
      </c>
      <c r="R184" s="30"/>
    </row>
    <row r="185" spans="3:18" x14ac:dyDescent="0.25">
      <c r="C185" s="20"/>
      <c r="D185" s="20"/>
      <c r="E185" s="20"/>
      <c r="F185" s="20"/>
      <c r="G185" s="20"/>
      <c r="H185" s="20"/>
      <c r="I185" s="20"/>
      <c r="J185" s="20"/>
      <c r="K185" s="18"/>
      <c r="L185" s="9"/>
      <c r="M185" s="9"/>
      <c r="N185" s="13"/>
      <c r="O185" s="9"/>
      <c r="P185" s="9"/>
      <c r="Q185" s="2"/>
    </row>
    <row r="186" spans="3:18" ht="15.75" thickBot="1" x14ac:dyDescent="0.3">
      <c r="C186" s="20"/>
      <c r="D186" s="18"/>
      <c r="E186" s="18"/>
      <c r="F186" s="18"/>
      <c r="G186" s="18"/>
      <c r="H186" s="18"/>
      <c r="I186" s="18"/>
      <c r="J186" s="18"/>
      <c r="K186" s="18"/>
      <c r="L186" s="9"/>
      <c r="M186" s="9"/>
      <c r="N186" s="13"/>
      <c r="O186" s="9"/>
      <c r="P186" s="9"/>
      <c r="Q186" s="2"/>
    </row>
    <row r="187" spans="3:18" ht="15.75" x14ac:dyDescent="0.25">
      <c r="C187" s="167" t="s">
        <v>278</v>
      </c>
      <c r="D187" s="157"/>
      <c r="E187" s="157"/>
      <c r="F187" s="157"/>
      <c r="G187" s="157"/>
      <c r="H187" s="157"/>
      <c r="I187" s="157"/>
      <c r="J187" s="157"/>
      <c r="K187" s="157"/>
      <c r="L187" s="158"/>
      <c r="M187" s="158"/>
      <c r="N187" s="159"/>
      <c r="O187" s="158"/>
      <c r="P187" s="158"/>
      <c r="Q187" s="160"/>
      <c r="R187" s="129"/>
    </row>
    <row r="188" spans="3:18" x14ac:dyDescent="0.25">
      <c r="C188" s="26" t="s">
        <v>146</v>
      </c>
      <c r="D188" s="5">
        <f>D156</f>
        <v>43</v>
      </c>
      <c r="E188" t="s">
        <v>338</v>
      </c>
      <c r="N188" s="13"/>
      <c r="O188" s="9"/>
      <c r="P188" s="9"/>
      <c r="Q188" s="2"/>
      <c r="R188" s="24"/>
    </row>
    <row r="189" spans="3:18" x14ac:dyDescent="0.25">
      <c r="C189" s="151" t="s">
        <v>266</v>
      </c>
      <c r="D189" s="127" t="s">
        <v>267</v>
      </c>
      <c r="E189" s="127" t="s">
        <v>268</v>
      </c>
      <c r="F189" s="127"/>
      <c r="G189" s="127" t="s">
        <v>271</v>
      </c>
      <c r="H189" s="127" t="s">
        <v>104</v>
      </c>
      <c r="I189" s="127" t="s">
        <v>269</v>
      </c>
      <c r="J189" s="127"/>
      <c r="K189" s="127" t="s">
        <v>272</v>
      </c>
      <c r="L189" s="127" t="s">
        <v>106</v>
      </c>
      <c r="M189" s="127" t="s">
        <v>270</v>
      </c>
      <c r="N189" s="13"/>
      <c r="O189" s="9"/>
      <c r="P189" s="9"/>
      <c r="Q189" s="2"/>
      <c r="R189" s="24"/>
    </row>
    <row r="190" spans="3:18" x14ac:dyDescent="0.25">
      <c r="C190" s="75">
        <f>C158</f>
        <v>7718</v>
      </c>
      <c r="D190" s="20">
        <f t="shared" ref="D190:E190" si="7">D158</f>
        <v>-18.329999999999998</v>
      </c>
      <c r="E190" s="20">
        <f t="shared" si="7"/>
        <v>0</v>
      </c>
      <c r="F190" s="18"/>
      <c r="G190" s="18">
        <v>0</v>
      </c>
      <c r="H190" s="162">
        <f>-(F95/I95)*(E151*E152*I121)</f>
        <v>-1186.127491063831</v>
      </c>
      <c r="I190" s="18">
        <v>0</v>
      </c>
      <c r="J190" s="18"/>
      <c r="K190" s="18">
        <f>C190+G190</f>
        <v>7718</v>
      </c>
      <c r="L190" s="162">
        <f>D190+H190</f>
        <v>-1204.457491063831</v>
      </c>
      <c r="M190" s="18">
        <f t="shared" ref="M190" si="8">E190+I190</f>
        <v>0</v>
      </c>
      <c r="N190" s="13"/>
      <c r="O190" s="9"/>
      <c r="P190" s="9"/>
      <c r="Q190" s="2"/>
      <c r="R190" s="24"/>
    </row>
    <row r="191" spans="3:18" x14ac:dyDescent="0.25">
      <c r="C191" s="75"/>
      <c r="D191" s="18"/>
      <c r="E191" s="18"/>
      <c r="F191" s="18"/>
      <c r="G191" s="18"/>
      <c r="H191" s="18"/>
      <c r="I191" s="18"/>
      <c r="J191" s="18"/>
      <c r="K191" s="18"/>
      <c r="L191" s="9"/>
      <c r="M191" s="9"/>
      <c r="N191" s="13"/>
      <c r="O191" s="9"/>
      <c r="P191" s="9"/>
      <c r="Q191" s="2"/>
      <c r="R191" s="24"/>
    </row>
    <row r="192" spans="3:18" ht="18" x14ac:dyDescent="0.35">
      <c r="C192" s="151" t="s">
        <v>63</v>
      </c>
      <c r="D192" s="127" t="s">
        <v>96</v>
      </c>
      <c r="E192" s="127" t="s">
        <v>97</v>
      </c>
      <c r="F192" s="127" t="s">
        <v>110</v>
      </c>
      <c r="G192" s="127" t="s">
        <v>99</v>
      </c>
      <c r="H192" s="127" t="s">
        <v>111</v>
      </c>
      <c r="I192" s="127" t="s">
        <v>100</v>
      </c>
      <c r="J192" s="127" t="s">
        <v>98</v>
      </c>
      <c r="K192" s="127" t="s">
        <v>107</v>
      </c>
      <c r="L192" s="127" t="s">
        <v>108</v>
      </c>
      <c r="M192" s="127" t="s">
        <v>109</v>
      </c>
      <c r="N192" s="127" t="s">
        <v>116</v>
      </c>
      <c r="O192" s="127" t="s">
        <v>112</v>
      </c>
      <c r="P192" s="127" t="s">
        <v>113</v>
      </c>
      <c r="Q192" s="2"/>
      <c r="R192" s="24"/>
    </row>
    <row r="193" spans="3:18" x14ac:dyDescent="0.25">
      <c r="C193" s="75" t="str">
        <f>C177</f>
        <v>IPE 360</v>
      </c>
      <c r="D193" s="20">
        <f t="shared" ref="D193:J193" si="9">D177</f>
        <v>23950</v>
      </c>
      <c r="E193" s="20">
        <f t="shared" si="9"/>
        <v>1709</v>
      </c>
      <c r="F193" s="20">
        <f t="shared" si="9"/>
        <v>17</v>
      </c>
      <c r="G193" s="20">
        <f t="shared" si="9"/>
        <v>0.8</v>
      </c>
      <c r="H193" s="20">
        <f t="shared" si="9"/>
        <v>1.27</v>
      </c>
      <c r="I193" s="20">
        <f t="shared" si="9"/>
        <v>72.7</v>
      </c>
      <c r="J193" s="20">
        <f t="shared" si="9"/>
        <v>33.46</v>
      </c>
      <c r="K193" s="18" t="str">
        <f>IF(MIN(0.25*E193, 0.5*J193*G193*$D$75/$D$76) &lt; ABS(L190), "JA", "NEIN")</f>
        <v>JA</v>
      </c>
      <c r="L193" s="9">
        <f>IF(K193="JA", ABS(L190)/E193, 0)</f>
        <v>0.70477325398702806</v>
      </c>
      <c r="M193" s="9">
        <f>IF(K193="JA", MIN((I193-2*F193*H193)/I193, 0.5), 0)</f>
        <v>0.40605226960110041</v>
      </c>
      <c r="N193" s="13">
        <f>MIN(D193, D193*(1-L193)/(1-0.5*M193))</f>
        <v>8871.9102040330727</v>
      </c>
      <c r="O193" s="9">
        <f>ABS(L190)/E193</f>
        <v>0.70477325398702806</v>
      </c>
      <c r="P193" s="9">
        <f>K190/N193</f>
        <v>0.869936667809316</v>
      </c>
      <c r="Q193" s="2" t="str">
        <f>IF(P193&lt;1,"OK!","NG!")</f>
        <v>OK!</v>
      </c>
      <c r="R193" s="24"/>
    </row>
    <row r="194" spans="3:18" x14ac:dyDescent="0.25">
      <c r="C194" s="75"/>
      <c r="D194" s="20"/>
      <c r="E194" s="20"/>
      <c r="F194" s="20"/>
      <c r="G194" s="20"/>
      <c r="H194" s="20"/>
      <c r="I194" s="20"/>
      <c r="J194" s="20"/>
      <c r="K194" s="18"/>
      <c r="L194" s="9"/>
      <c r="M194" s="9"/>
      <c r="N194" s="13"/>
      <c r="O194" s="9"/>
      <c r="P194" s="9"/>
      <c r="Q194" s="2"/>
      <c r="R194" s="24"/>
    </row>
    <row r="195" spans="3:18" x14ac:dyDescent="0.25">
      <c r="C195" s="26" t="s">
        <v>146</v>
      </c>
      <c r="D195" s="5">
        <f>D163</f>
        <v>41</v>
      </c>
      <c r="E195" t="s">
        <v>339</v>
      </c>
      <c r="N195" s="13"/>
      <c r="O195" s="9"/>
      <c r="P195" s="9"/>
      <c r="Q195" s="2"/>
      <c r="R195" s="24"/>
    </row>
    <row r="196" spans="3:18" x14ac:dyDescent="0.25">
      <c r="C196" s="151" t="s">
        <v>266</v>
      </c>
      <c r="D196" s="127" t="s">
        <v>267</v>
      </c>
      <c r="E196" s="127" t="s">
        <v>268</v>
      </c>
      <c r="F196" s="127"/>
      <c r="G196" s="127" t="s">
        <v>271</v>
      </c>
      <c r="H196" s="127" t="s">
        <v>104</v>
      </c>
      <c r="I196" s="127" t="s">
        <v>269</v>
      </c>
      <c r="J196" s="127"/>
      <c r="K196" s="127" t="s">
        <v>272</v>
      </c>
      <c r="L196" s="127" t="s">
        <v>106</v>
      </c>
      <c r="M196" s="127" t="s">
        <v>270</v>
      </c>
      <c r="N196" s="13"/>
      <c r="O196" s="9"/>
      <c r="P196" s="9"/>
      <c r="Q196" s="2"/>
      <c r="R196" s="24"/>
    </row>
    <row r="197" spans="3:18" x14ac:dyDescent="0.25">
      <c r="C197" s="75">
        <f>C165</f>
        <v>7718</v>
      </c>
      <c r="D197" s="20">
        <f t="shared" ref="D197:E197" si="10">D165</f>
        <v>-18.329999999999998</v>
      </c>
      <c r="E197" s="20">
        <f t="shared" si="10"/>
        <v>0</v>
      </c>
      <c r="F197" s="18"/>
      <c r="G197" s="18">
        <v>0</v>
      </c>
      <c r="H197" s="162">
        <f>-H190</f>
        <v>1186.127491063831</v>
      </c>
      <c r="I197" s="18">
        <v>0</v>
      </c>
      <c r="J197" s="18"/>
      <c r="K197" s="18">
        <f>C197+G197</f>
        <v>7718</v>
      </c>
      <c r="L197" s="162">
        <f>D197+H197</f>
        <v>1167.7974910638311</v>
      </c>
      <c r="M197" s="18">
        <f t="shared" ref="M197" si="11">E197+I197</f>
        <v>0</v>
      </c>
      <c r="N197" s="13"/>
      <c r="O197" s="9"/>
      <c r="P197" s="9"/>
      <c r="Q197" s="2"/>
      <c r="R197" s="24"/>
    </row>
    <row r="198" spans="3:18" x14ac:dyDescent="0.25">
      <c r="C198" s="75"/>
      <c r="D198" s="18"/>
      <c r="E198" s="18"/>
      <c r="F198" s="18"/>
      <c r="G198" s="18"/>
      <c r="H198" s="18"/>
      <c r="I198" s="18"/>
      <c r="J198" s="18"/>
      <c r="K198" s="18"/>
      <c r="L198" s="9"/>
      <c r="M198" s="9"/>
      <c r="N198" s="13"/>
      <c r="O198" s="9"/>
      <c r="P198" s="9"/>
      <c r="Q198" s="2"/>
      <c r="R198" s="24"/>
    </row>
    <row r="199" spans="3:18" ht="18" x14ac:dyDescent="0.35">
      <c r="C199" s="151" t="s">
        <v>63</v>
      </c>
      <c r="D199" s="127" t="s">
        <v>96</v>
      </c>
      <c r="E199" s="127" t="s">
        <v>97</v>
      </c>
      <c r="F199" s="127" t="s">
        <v>110</v>
      </c>
      <c r="G199" s="127" t="s">
        <v>99</v>
      </c>
      <c r="H199" s="127" t="s">
        <v>111</v>
      </c>
      <c r="I199" s="127" t="s">
        <v>100</v>
      </c>
      <c r="J199" s="127" t="s">
        <v>98</v>
      </c>
      <c r="K199" s="127" t="s">
        <v>107</v>
      </c>
      <c r="L199" s="127" t="s">
        <v>108</v>
      </c>
      <c r="M199" s="127" t="s">
        <v>109</v>
      </c>
      <c r="N199" s="127" t="s">
        <v>116</v>
      </c>
      <c r="O199" s="127" t="s">
        <v>112</v>
      </c>
      <c r="P199" s="127" t="s">
        <v>113</v>
      </c>
      <c r="Q199" s="2"/>
      <c r="R199" s="24"/>
    </row>
    <row r="200" spans="3:18" ht="15.75" thickBot="1" x14ac:dyDescent="0.3">
      <c r="C200" s="161" t="str">
        <f>C184</f>
        <v>IPE 360</v>
      </c>
      <c r="D200" s="154">
        <f>IF('Cross Sections and Materials'!$C$5 = 3, 'Cross Sections and Materials'!$D$5, 'Cross Sections and Materials'!$E$5)</f>
        <v>23950</v>
      </c>
      <c r="E200" s="154">
        <f t="shared" ref="E200:J200" si="12">E184</f>
        <v>1709</v>
      </c>
      <c r="F200" s="154">
        <f t="shared" si="12"/>
        <v>17</v>
      </c>
      <c r="G200" s="154">
        <f t="shared" si="12"/>
        <v>0.8</v>
      </c>
      <c r="H200" s="154">
        <f t="shared" si="12"/>
        <v>1.27</v>
      </c>
      <c r="I200" s="154">
        <f t="shared" si="12"/>
        <v>72.7</v>
      </c>
      <c r="J200" s="154">
        <f t="shared" si="12"/>
        <v>33.46</v>
      </c>
      <c r="K200" s="54" t="str">
        <f>IF(MIN(0.25*E200, 0.5*J200*G200*$D$75/$D$76) &lt; ABS(L197), "JA", "NEIN")</f>
        <v>JA</v>
      </c>
      <c r="L200" s="28">
        <f>IF(K200="JA", ABS(L197)/E200, 0)</f>
        <v>0.6833221129688889</v>
      </c>
      <c r="M200" s="28">
        <f>IF(K200="JA", MIN((I200-2*F200*H200)/I200, 0.5), 0)</f>
        <v>0.40605226960110041</v>
      </c>
      <c r="N200" s="55">
        <f>MIN(D200, D200*(1-L200)/(1-0.5*M200))</f>
        <v>9516.5421672855464</v>
      </c>
      <c r="O200" s="28">
        <f>ABS(L197)/E200</f>
        <v>0.6833221129688889</v>
      </c>
      <c r="P200" s="28">
        <f>K197/N200</f>
        <v>0.8110088585044799</v>
      </c>
      <c r="Q200" s="64" t="str">
        <f>IF(P200&lt;1,"OK!","NG!")</f>
        <v>OK!</v>
      </c>
      <c r="R200" s="30"/>
    </row>
    <row r="201" spans="3:18" x14ac:dyDescent="0.25">
      <c r="C201" s="20"/>
      <c r="D201" s="20"/>
      <c r="E201" s="20"/>
      <c r="F201" s="20"/>
      <c r="G201" s="20"/>
      <c r="H201" s="20"/>
      <c r="I201" s="20"/>
      <c r="J201" s="20"/>
      <c r="K201" s="18"/>
      <c r="L201" s="9"/>
      <c r="M201" s="9"/>
      <c r="N201" s="13"/>
      <c r="O201" s="9"/>
      <c r="P201" s="9"/>
      <c r="Q201" s="2"/>
    </row>
    <row r="202" spans="3:18" ht="15.75" thickBot="1" x14ac:dyDescent="0.3">
      <c r="C202" s="20"/>
      <c r="D202" s="18"/>
      <c r="E202" s="18"/>
      <c r="F202" s="18"/>
      <c r="G202" s="18"/>
      <c r="H202" s="18"/>
      <c r="I202" s="18"/>
      <c r="J202" s="18"/>
      <c r="K202" s="18"/>
      <c r="L202" s="9"/>
      <c r="M202" s="9"/>
      <c r="N202" s="13"/>
      <c r="O202" s="9"/>
      <c r="P202" s="9"/>
      <c r="Q202" s="2"/>
    </row>
    <row r="203" spans="3:18" ht="15.75" x14ac:dyDescent="0.25">
      <c r="C203" s="167" t="s">
        <v>279</v>
      </c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29"/>
    </row>
    <row r="204" spans="3:18" x14ac:dyDescent="0.25">
      <c r="C204" s="26" t="s">
        <v>146</v>
      </c>
      <c r="D204" s="106">
        <v>2</v>
      </c>
      <c r="E204" t="s">
        <v>280</v>
      </c>
      <c r="R204" s="24"/>
    </row>
    <row r="205" spans="3:18" x14ac:dyDescent="0.25">
      <c r="C205" s="151" t="s">
        <v>63</v>
      </c>
      <c r="D205" s="127" t="s">
        <v>64</v>
      </c>
      <c r="E205" s="127" t="s">
        <v>70</v>
      </c>
      <c r="F205" s="127" t="s">
        <v>74</v>
      </c>
      <c r="G205" s="127" t="s">
        <v>69</v>
      </c>
      <c r="H205" s="127" t="s">
        <v>92</v>
      </c>
      <c r="I205" s="127" t="s">
        <v>91</v>
      </c>
      <c r="J205" s="127" t="s">
        <v>95</v>
      </c>
      <c r="K205" s="127" t="s">
        <v>71</v>
      </c>
      <c r="L205" s="127" t="s">
        <v>73</v>
      </c>
      <c r="M205" s="127" t="s">
        <v>75</v>
      </c>
      <c r="N205" s="127" t="s">
        <v>25</v>
      </c>
      <c r="O205" s="127" t="s">
        <v>76</v>
      </c>
      <c r="P205" s="127" t="s">
        <v>67</v>
      </c>
      <c r="R205" s="24"/>
    </row>
    <row r="206" spans="3:18" ht="15.75" thickBot="1" x14ac:dyDescent="0.3">
      <c r="C206" s="164" t="str">
        <f>'Cross Sections and Materials'!B9</f>
        <v>HEB 650</v>
      </c>
      <c r="D206" s="38">
        <f>'Cross Sections and Materials'!G9</f>
        <v>286.3</v>
      </c>
      <c r="E206" s="38">
        <f>'Cross Sections and Materials'!J9</f>
        <v>6.87</v>
      </c>
      <c r="F206" s="38">
        <f>'Cross Sections and Materials'!L9</f>
        <v>0.34</v>
      </c>
      <c r="G206" s="38">
        <f>E8</f>
        <v>350</v>
      </c>
      <c r="H206" s="213">
        <v>969.3</v>
      </c>
      <c r="I206" s="213">
        <v>620.79999999999995</v>
      </c>
      <c r="J206" s="38">
        <f>H206+$E$151*$E$152*$E$150*I206</f>
        <v>3579.1019707719133</v>
      </c>
      <c r="K206" s="38">
        <f>G206</f>
        <v>350</v>
      </c>
      <c r="L206" s="28">
        <f>K206/E206/$D$78</f>
        <v>0.54255742970393406</v>
      </c>
      <c r="M206" s="82">
        <f>0.5*(1+F206*(L206-0.2)+L206^2)</f>
        <v>0.70541904531313848</v>
      </c>
      <c r="N206" s="28">
        <f>MIN(1/(M206+SQRT(M206^2-L206^2)), 1)</f>
        <v>0.86486576473449372</v>
      </c>
      <c r="O206" s="82">
        <f>N206*D206*$D$75/$D$77</f>
        <v>5289.8728258381007</v>
      </c>
      <c r="P206" s="28">
        <f>J206/O206</f>
        <v>0.67659508812574498</v>
      </c>
      <c r="Q206" s="64" t="str">
        <f>IF(P206&lt;1,"OK!","NG!")</f>
        <v>OK!</v>
      </c>
      <c r="R206" s="30"/>
    </row>
    <row r="207" spans="3:18" x14ac:dyDescent="0.25">
      <c r="C207" s="5"/>
      <c r="D207" s="5"/>
      <c r="E207" s="5"/>
      <c r="F207" s="5"/>
      <c r="G207" s="5"/>
      <c r="H207" s="217"/>
      <c r="I207" s="217"/>
      <c r="J207" s="5"/>
      <c r="K207" s="5"/>
      <c r="L207" s="9"/>
      <c r="M207" s="6"/>
      <c r="N207" s="9"/>
      <c r="O207" s="6"/>
      <c r="P207" s="9"/>
      <c r="Q207" s="2"/>
    </row>
    <row r="208" spans="3:18" ht="15.75" thickBot="1" x14ac:dyDescent="0.3">
      <c r="C208" s="5"/>
      <c r="D208" s="5"/>
      <c r="E208" s="5"/>
      <c r="F208" s="5"/>
      <c r="G208" s="5"/>
      <c r="H208" s="4"/>
      <c r="I208" s="4"/>
      <c r="J208" s="5"/>
      <c r="K208" s="5"/>
      <c r="L208" s="9"/>
      <c r="M208" s="6"/>
      <c r="N208" s="9"/>
      <c r="O208" s="6"/>
      <c r="P208" s="9"/>
      <c r="Q208" s="2"/>
    </row>
    <row r="209" spans="3:18" ht="15.75" x14ac:dyDescent="0.25">
      <c r="C209" s="167" t="s">
        <v>276</v>
      </c>
      <c r="D209" s="165"/>
      <c r="E209" s="165"/>
      <c r="F209" s="165"/>
      <c r="G209" s="165"/>
      <c r="H209" s="176"/>
      <c r="I209" s="176"/>
      <c r="J209" s="165"/>
      <c r="K209" s="165"/>
      <c r="L209" s="158"/>
      <c r="M209" s="177"/>
      <c r="N209" s="158"/>
      <c r="O209" s="177"/>
      <c r="P209" s="158"/>
      <c r="Q209" s="160"/>
      <c r="R209" s="129"/>
    </row>
    <row r="210" spans="3:18" x14ac:dyDescent="0.25">
      <c r="C210" s="26" t="s">
        <v>146</v>
      </c>
      <c r="D210" s="5">
        <f>D204</f>
        <v>2</v>
      </c>
      <c r="E210" t="s">
        <v>281</v>
      </c>
      <c r="F210" s="5"/>
      <c r="G210" s="5"/>
      <c r="H210" s="4"/>
      <c r="I210" s="4"/>
      <c r="J210" s="5"/>
      <c r="K210" s="5"/>
      <c r="L210" s="9"/>
      <c r="M210" s="6"/>
      <c r="N210" s="9"/>
      <c r="O210" s="6"/>
      <c r="P210" s="9"/>
      <c r="Q210" s="2"/>
      <c r="R210" s="24"/>
    </row>
    <row r="211" spans="3:18" ht="18" x14ac:dyDescent="0.35">
      <c r="C211" s="151" t="s">
        <v>3</v>
      </c>
      <c r="D211" s="127" t="s">
        <v>63</v>
      </c>
      <c r="E211" s="127" t="s">
        <v>115</v>
      </c>
      <c r="F211" s="127" t="s">
        <v>68</v>
      </c>
      <c r="G211" s="127" t="s">
        <v>282</v>
      </c>
      <c r="H211" s="127" t="s">
        <v>117</v>
      </c>
      <c r="I211" s="4"/>
      <c r="J211" s="5"/>
      <c r="K211" s="5"/>
      <c r="L211" s="9"/>
      <c r="M211" s="6"/>
      <c r="N211" s="9"/>
      <c r="O211" s="6"/>
      <c r="P211" s="9"/>
      <c r="Q211" s="2"/>
      <c r="R211" s="24"/>
    </row>
    <row r="212" spans="3:18" x14ac:dyDescent="0.25">
      <c r="C212" s="23">
        <v>1</v>
      </c>
      <c r="D212" s="20" t="str">
        <f>IF(Loads!C24&lt;&gt;"", D95, "")</f>
        <v>CHS 193.7x6</v>
      </c>
      <c r="E212" s="20">
        <f>IF(Loads!C24&lt;&gt;"", E95, "")</f>
        <v>350</v>
      </c>
      <c r="F212" s="6">
        <f>IF(Loads!C24&lt;&gt;"", I95, "")</f>
        <v>782.62379212492635</v>
      </c>
      <c r="G212" s="6">
        <f>IF(Loads!C24&lt;&gt;"", L108*$E$151, "")</f>
        <v>589.10920044165823</v>
      </c>
      <c r="H212" s="8">
        <f>IF(Loads!C24&lt;&gt;"", G212*(E212/F212), "")</f>
        <v>263.45764367161939</v>
      </c>
      <c r="J212" s="5"/>
      <c r="K212" s="5"/>
      <c r="L212" s="9"/>
      <c r="M212" s="6"/>
      <c r="N212" s="9"/>
      <c r="O212" s="6"/>
      <c r="P212" s="9"/>
      <c r="Q212" s="2"/>
      <c r="R212" s="24"/>
    </row>
    <row r="213" spans="3:18" x14ac:dyDescent="0.25">
      <c r="C213" s="23">
        <v>2</v>
      </c>
      <c r="D213" s="20" t="str">
        <f>IF(Loads!C25&lt;&gt;"", D96, "")</f>
        <v>CHS 193.7x6</v>
      </c>
      <c r="E213" s="20">
        <f>IF(Loads!C25&lt;&gt;"", E96, "")</f>
        <v>350</v>
      </c>
      <c r="F213" s="6">
        <f>IF(Loads!C25&lt;&gt;"", I96, "")</f>
        <v>782.62379212492635</v>
      </c>
      <c r="G213" s="6">
        <f>IF(Loads!C25&lt;&gt;"", L109*$E$151, "")</f>
        <v>589.10920044165823</v>
      </c>
      <c r="H213" s="8">
        <f>IF(Loads!C25&lt;&gt;"", G213*(E213/F213), "")</f>
        <v>263.45764367161939</v>
      </c>
      <c r="J213" s="5"/>
      <c r="K213" s="5"/>
      <c r="L213" s="9"/>
      <c r="M213" s="6"/>
      <c r="N213" s="9"/>
      <c r="O213" s="6"/>
      <c r="P213" s="9"/>
      <c r="Q213" s="2"/>
      <c r="R213" s="24"/>
    </row>
    <row r="214" spans="3:18" x14ac:dyDescent="0.25">
      <c r="C214" s="23">
        <v>3</v>
      </c>
      <c r="D214" s="20" t="str">
        <f>IF(Loads!C26&lt;&gt;"", D97, "")</f>
        <v>CHS 177.8x6.3</v>
      </c>
      <c r="E214" s="20">
        <f>IF(Loads!C26&lt;&gt;"", E97, "")</f>
        <v>350</v>
      </c>
      <c r="F214" s="6">
        <f>IF(Loads!C26&lt;&gt;"", I97, "")</f>
        <v>782.62379212492635</v>
      </c>
      <c r="G214" s="6">
        <f>IF(Loads!C26&lt;&gt;"", L110*$E$151, "")</f>
        <v>487.50369111352239</v>
      </c>
      <c r="H214" s="8">
        <f>IF(Loads!C26&lt;&gt;"", G214*(E214/F214), "")</f>
        <v>218.01827852237926</v>
      </c>
      <c r="J214" s="5"/>
      <c r="K214" s="5"/>
      <c r="L214" s="9"/>
      <c r="M214" s="6"/>
      <c r="N214" s="9"/>
      <c r="O214" s="6"/>
      <c r="P214" s="9"/>
      <c r="Q214" s="2"/>
      <c r="R214" s="24"/>
    </row>
    <row r="215" spans="3:18" x14ac:dyDescent="0.25">
      <c r="C215" s="23">
        <v>4</v>
      </c>
      <c r="D215" s="20" t="str">
        <f>IF(Loads!C27&lt;&gt;"", D98, "")</f>
        <v>CHS 168.3x6</v>
      </c>
      <c r="E215" s="20">
        <f>IF(Loads!C27&lt;&gt;"", E98, "")</f>
        <v>350</v>
      </c>
      <c r="F215" s="6">
        <f>IF(Loads!C27&lt;&gt;"", I98, "")</f>
        <v>782.62379212492635</v>
      </c>
      <c r="G215" s="6">
        <f>IF(Loads!C27&lt;&gt;"", L111*$E$151, "")</f>
        <v>428.77828946203181</v>
      </c>
      <c r="H215" s="8">
        <f>IF(Loads!C27&lt;&gt;"", G215*(E215/F215), "")</f>
        <v>191.755480502637</v>
      </c>
      <c r="J215" s="5"/>
      <c r="K215" s="5"/>
      <c r="L215" s="9"/>
      <c r="M215" s="6"/>
      <c r="N215" s="9"/>
      <c r="O215" s="6"/>
      <c r="P215" s="9"/>
      <c r="Q215" s="2"/>
      <c r="R215" s="24"/>
    </row>
    <row r="216" spans="3:18" x14ac:dyDescent="0.25">
      <c r="C216" s="23">
        <v>5</v>
      </c>
      <c r="D216" s="20" t="str">
        <f>IF(Loads!C28&lt;&gt;"", D99, "")</f>
        <v>CHS 139.7x6.3</v>
      </c>
      <c r="E216" s="20">
        <f>IF(Loads!C28&lt;&gt;"", E99, "")</f>
        <v>350</v>
      </c>
      <c r="F216" s="6">
        <f>IF(Loads!C28&lt;&gt;"", I99, "")</f>
        <v>782.62379212492635</v>
      </c>
      <c r="G216" s="6">
        <f>IF(Loads!C28&lt;&gt;"", L112*$E$151, "")</f>
        <v>281.78931895111765</v>
      </c>
      <c r="H216" s="8">
        <f>IF(Loads!C28&lt;&gt;"", G216*(E216/F216), "")</f>
        <v>126.02001450161377</v>
      </c>
      <c r="J216" s="5"/>
      <c r="K216" s="5"/>
      <c r="L216" s="9"/>
      <c r="M216" s="6"/>
      <c r="N216" s="9"/>
      <c r="O216" s="6"/>
      <c r="P216" s="9"/>
      <c r="Q216" s="2"/>
      <c r="R216" s="24"/>
    </row>
    <row r="217" spans="3:18" x14ac:dyDescent="0.25">
      <c r="C217" s="23">
        <v>6</v>
      </c>
      <c r="D217" s="20" t="str">
        <f>IF(Loads!C29&lt;&gt;"", D100, "")</f>
        <v>CHS 177.8x6.3</v>
      </c>
      <c r="E217" s="20">
        <f>IF(Loads!C29&lt;&gt;"", E100, "")</f>
        <v>350</v>
      </c>
      <c r="F217" s="6">
        <f>IF(Loads!C29&lt;&gt;"", I100, "")</f>
        <v>782.62379212492635</v>
      </c>
      <c r="G217" s="6">
        <f>IF(Loads!C29&lt;&gt;"", L113*$E$151, "")</f>
        <v>487.50369111352239</v>
      </c>
      <c r="H217" s="8">
        <f>IF(Loads!C29&lt;&gt;"", G217*(E217/F217), "")</f>
        <v>218.01827852237926</v>
      </c>
      <c r="J217" s="5"/>
      <c r="K217" s="5"/>
      <c r="L217" s="9"/>
      <c r="M217" s="6"/>
      <c r="N217" s="9"/>
      <c r="O217" s="6"/>
      <c r="P217" s="9"/>
      <c r="Q217" s="2"/>
      <c r="R217" s="24"/>
    </row>
    <row r="218" spans="3:18" x14ac:dyDescent="0.25">
      <c r="C218" s="23">
        <v>7</v>
      </c>
      <c r="D218" s="20" t="str">
        <f>IF(Loads!C30&lt;&gt;"", D101, "")</f>
        <v/>
      </c>
      <c r="E218" s="20" t="str">
        <f>IF(Loads!C30&lt;&gt;"", E101, "")</f>
        <v/>
      </c>
      <c r="F218" s="6" t="str">
        <f>IF(Loads!C30&lt;&gt;"", I101, "")</f>
        <v/>
      </c>
      <c r="G218" s="6" t="str">
        <f>IF(Loads!C30&lt;&gt;"", L114*$E$151, "")</f>
        <v/>
      </c>
      <c r="H218" s="8" t="str">
        <f>IF(Loads!C30&lt;&gt;"", G218*(E218/F218), "")</f>
        <v/>
      </c>
      <c r="J218" s="5"/>
      <c r="K218" s="5"/>
      <c r="L218" s="9"/>
      <c r="M218" s="6"/>
      <c r="N218" s="9"/>
      <c r="O218" s="6"/>
      <c r="P218" s="9"/>
      <c r="Q218" s="2"/>
      <c r="R218" s="24"/>
    </row>
    <row r="219" spans="3:18" x14ac:dyDescent="0.25">
      <c r="C219" s="23">
        <v>8</v>
      </c>
      <c r="D219" s="20" t="str">
        <f>IF(Loads!C31&lt;&gt;"", D102, "")</f>
        <v/>
      </c>
      <c r="E219" s="20" t="str">
        <f>IF(Loads!C31&lt;&gt;"", E102, "")</f>
        <v/>
      </c>
      <c r="F219" s="6" t="str">
        <f>IF(Loads!C31&lt;&gt;"", I102, "")</f>
        <v/>
      </c>
      <c r="G219" s="6" t="str">
        <f>IF(Loads!C31&lt;&gt;"", L115*$E$151, "")</f>
        <v/>
      </c>
      <c r="H219" s="8" t="str">
        <f>IF(Loads!C31&lt;&gt;"", G219*(E219/F219), "")</f>
        <v/>
      </c>
      <c r="J219" s="5"/>
      <c r="K219" s="5"/>
      <c r="L219" s="9"/>
      <c r="M219" s="6"/>
      <c r="N219" s="9"/>
      <c r="O219" s="6"/>
      <c r="P219" s="9"/>
      <c r="Q219" s="2"/>
      <c r="R219" s="24"/>
    </row>
    <row r="220" spans="3:18" x14ac:dyDescent="0.25">
      <c r="C220" s="23">
        <v>9</v>
      </c>
      <c r="D220" s="20" t="str">
        <f>IF(Loads!C32&lt;&gt;"", D103, "")</f>
        <v/>
      </c>
      <c r="E220" s="20" t="str">
        <f>IF(Loads!C32&lt;&gt;"", E103, "")</f>
        <v/>
      </c>
      <c r="F220" s="6" t="str">
        <f>IF(Loads!C32&lt;&gt;"", I103, "")</f>
        <v/>
      </c>
      <c r="G220" s="6" t="str">
        <f>IF(Loads!C32&lt;&gt;"", L116*$E$151, "")</f>
        <v/>
      </c>
      <c r="H220" s="8" t="str">
        <f>IF(Loads!C32&lt;&gt;"", G220*(E220/F220), "")</f>
        <v/>
      </c>
      <c r="J220" s="5"/>
      <c r="K220" s="5"/>
      <c r="L220" s="9"/>
      <c r="M220" s="6"/>
      <c r="N220" s="9"/>
      <c r="O220" s="6"/>
      <c r="P220" s="9"/>
      <c r="Q220" s="2"/>
      <c r="R220" s="24"/>
    </row>
    <row r="221" spans="3:18" x14ac:dyDescent="0.25">
      <c r="C221" s="23"/>
      <c r="J221" s="5"/>
      <c r="K221" s="5"/>
      <c r="L221" s="9"/>
      <c r="M221" s="6"/>
      <c r="N221" s="9"/>
      <c r="O221" s="6"/>
      <c r="P221" s="9"/>
      <c r="Q221" s="2"/>
      <c r="R221" s="24"/>
    </row>
    <row r="222" spans="3:18" x14ac:dyDescent="0.25">
      <c r="C222" s="151" t="s">
        <v>63</v>
      </c>
      <c r="D222" s="127" t="s">
        <v>64</v>
      </c>
      <c r="E222" s="127" t="s">
        <v>70</v>
      </c>
      <c r="F222" s="127" t="s">
        <v>74</v>
      </c>
      <c r="G222" s="127" t="s">
        <v>69</v>
      </c>
      <c r="H222" s="127" t="s">
        <v>92</v>
      </c>
      <c r="I222" s="127" t="s">
        <v>91</v>
      </c>
      <c r="J222" s="127" t="s">
        <v>95</v>
      </c>
      <c r="K222" s="127" t="s">
        <v>71</v>
      </c>
      <c r="L222" s="127" t="s">
        <v>73</v>
      </c>
      <c r="M222" s="127" t="s">
        <v>75</v>
      </c>
      <c r="N222" s="127" t="s">
        <v>25</v>
      </c>
      <c r="O222" s="127" t="s">
        <v>76</v>
      </c>
      <c r="P222" s="127" t="s">
        <v>67</v>
      </c>
      <c r="R222" s="24"/>
    </row>
    <row r="223" spans="3:18" ht="15.75" thickBot="1" x14ac:dyDescent="0.3">
      <c r="C223" s="164" t="str">
        <f>C206</f>
        <v>HEB 650</v>
      </c>
      <c r="D223" s="38">
        <f t="shared" ref="D223:G223" si="13">D206</f>
        <v>286.3</v>
      </c>
      <c r="E223" s="38">
        <f t="shared" si="13"/>
        <v>6.87</v>
      </c>
      <c r="F223" s="38">
        <f t="shared" si="13"/>
        <v>0.34</v>
      </c>
      <c r="G223" s="38">
        <f t="shared" si="13"/>
        <v>350</v>
      </c>
      <c r="H223" s="38">
        <f>H206</f>
        <v>969.3</v>
      </c>
      <c r="I223" s="45">
        <f>SUM(H212:H220)</f>
        <v>1280.727339392248</v>
      </c>
      <c r="J223" s="55">
        <f>H223+I223</f>
        <v>2250.027339392248</v>
      </c>
      <c r="K223" s="38">
        <f>G223</f>
        <v>350</v>
      </c>
      <c r="L223" s="28">
        <f>K223/E223/$D$78</f>
        <v>0.54255742970393406</v>
      </c>
      <c r="M223" s="82">
        <f>0.5*(1+F223*(L223-0.2)+L223^2)</f>
        <v>0.70541904531313848</v>
      </c>
      <c r="N223" s="28">
        <f>MIN(1/(M223+SQRT(M223^2-L223^2)), 1)</f>
        <v>0.86486576473449372</v>
      </c>
      <c r="O223" s="82">
        <f>N223*D223*$D$75/$D$77</f>
        <v>5289.8728258381007</v>
      </c>
      <c r="P223" s="28">
        <f>J223/O223</f>
        <v>0.42534620651031718</v>
      </c>
      <c r="Q223" s="64" t="str">
        <f>IF(P223&lt;1,"OK!","NG!")</f>
        <v>OK!</v>
      </c>
      <c r="R223" s="30"/>
    </row>
    <row r="224" spans="3:18" x14ac:dyDescent="0.25">
      <c r="C224" s="5"/>
      <c r="D224" s="5"/>
      <c r="E224" s="5"/>
      <c r="F224" s="5"/>
      <c r="G224" s="5"/>
      <c r="H224" s="5"/>
      <c r="I224" s="8"/>
      <c r="J224" s="13"/>
      <c r="K224" s="5"/>
      <c r="L224" s="9"/>
      <c r="M224" s="6"/>
      <c r="N224" s="9"/>
      <c r="O224" s="6"/>
      <c r="P224" s="9"/>
      <c r="Q224" s="2"/>
    </row>
    <row r="225" spans="3:18" ht="15.75" thickBot="1" x14ac:dyDescent="0.3">
      <c r="C225" s="10"/>
    </row>
    <row r="226" spans="3:18" ht="15.75" x14ac:dyDescent="0.25">
      <c r="C226" s="167" t="s">
        <v>278</v>
      </c>
      <c r="D226" s="165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29"/>
    </row>
    <row r="227" spans="3:18" x14ac:dyDescent="0.25">
      <c r="C227" s="26" t="s">
        <v>146</v>
      </c>
      <c r="D227" s="5">
        <f>D204</f>
        <v>2</v>
      </c>
      <c r="E227" t="s">
        <v>286</v>
      </c>
      <c r="F227" s="4"/>
      <c r="R227" s="24"/>
    </row>
    <row r="228" spans="3:18" ht="18" x14ac:dyDescent="0.35">
      <c r="C228" s="151" t="s">
        <v>3</v>
      </c>
      <c r="D228" s="127" t="s">
        <v>63</v>
      </c>
      <c r="E228" s="127" t="s">
        <v>115</v>
      </c>
      <c r="F228" s="127" t="s">
        <v>68</v>
      </c>
      <c r="G228" s="127" t="s">
        <v>283</v>
      </c>
      <c r="H228" s="127" t="s">
        <v>117</v>
      </c>
      <c r="R228" s="24"/>
    </row>
    <row r="229" spans="3:18" x14ac:dyDescent="0.25">
      <c r="C229" s="23">
        <v>1</v>
      </c>
      <c r="D229" s="18" t="str">
        <f>IF(Loads!C24&lt;&gt;"", D212, "")</f>
        <v>CHS 193.7x6</v>
      </c>
      <c r="E229" s="18">
        <f>IF(Loads!C24&lt;&gt;"", E212, "")</f>
        <v>350</v>
      </c>
      <c r="F229" s="172">
        <f>IF(Loads!C24&lt;&gt;"", F212, "")</f>
        <v>782.62379212492635</v>
      </c>
      <c r="G229" s="6">
        <f>IF(Loads!C24&lt;&gt;"", $E$151*$E$152*I121, "")</f>
        <v>1326.13085</v>
      </c>
      <c r="H229" s="8">
        <f>IF(Loads!C24&lt;&gt;"", G229*(E229/F229), "")</f>
        <v>593.06374553191552</v>
      </c>
      <c r="R229" s="24"/>
    </row>
    <row r="230" spans="3:18" x14ac:dyDescent="0.25">
      <c r="C230" s="23">
        <v>2</v>
      </c>
      <c r="D230" s="18" t="str">
        <f>IF(Loads!C25&lt;&gt;"", D213, "")</f>
        <v>CHS 193.7x6</v>
      </c>
      <c r="E230" s="18">
        <f>IF(Loads!C25&lt;&gt;"", E213, "")</f>
        <v>350</v>
      </c>
      <c r="F230" s="172">
        <f>IF(Loads!C25&lt;&gt;"", F213, "")</f>
        <v>782.62379212492635</v>
      </c>
      <c r="G230" s="6">
        <f>IF(Loads!C25&lt;&gt;"", $E$151*$E$152*I122, "")</f>
        <v>1326.13085</v>
      </c>
      <c r="H230" s="8">
        <f>IF(Loads!C25&lt;&gt;"", G230*(E230/F230), "")</f>
        <v>593.06374553191552</v>
      </c>
      <c r="R230" s="24"/>
    </row>
    <row r="231" spans="3:18" x14ac:dyDescent="0.25">
      <c r="C231" s="23">
        <v>3</v>
      </c>
      <c r="D231" s="18" t="str">
        <f>IF(Loads!C26&lt;&gt;"", D214, "")</f>
        <v>CHS 177.8x6.3</v>
      </c>
      <c r="E231" s="18">
        <f>IF(Loads!C26&lt;&gt;"", E214, "")</f>
        <v>350</v>
      </c>
      <c r="F231" s="172">
        <f>IF(Loads!C26&lt;&gt;"", F214, "")</f>
        <v>782.62379212492635</v>
      </c>
      <c r="G231" s="6">
        <f>IF(Loads!C26&lt;&gt;"", $E$151*$E$152*I123, "")</f>
        <v>1213.68335</v>
      </c>
      <c r="H231" s="8">
        <f>IF(Loads!C26&lt;&gt;"", G231*(E231/F231), "")</f>
        <v>542.77569475193388</v>
      </c>
      <c r="R231" s="24"/>
    </row>
    <row r="232" spans="3:18" x14ac:dyDescent="0.25">
      <c r="C232" s="23">
        <v>4</v>
      </c>
      <c r="D232" s="18" t="str">
        <f>IF(Loads!C27&lt;&gt;"", D215, "")</f>
        <v>CHS 168.3x6</v>
      </c>
      <c r="E232" s="18">
        <f>IF(Loads!C27&lt;&gt;"", E215, "")</f>
        <v>350</v>
      </c>
      <c r="F232" s="172">
        <f>IF(Loads!C27&lt;&gt;"", F215, "")</f>
        <v>782.62379212492635</v>
      </c>
      <c r="G232" s="6">
        <f>IF(Loads!C27&lt;&gt;"", $E$151*$E$152*I124, "")</f>
        <v>1146.5896749999999</v>
      </c>
      <c r="H232" s="8">
        <f>IF(Loads!C27&lt;&gt;"", G232*(E232/F232), "")</f>
        <v>512.77049111987822</v>
      </c>
      <c r="R232" s="24"/>
    </row>
    <row r="233" spans="3:18" x14ac:dyDescent="0.25">
      <c r="C233" s="23">
        <v>5</v>
      </c>
      <c r="D233" s="18" t="str">
        <f>IF(Loads!C28&lt;&gt;"", D216, "")</f>
        <v>CHS 139.7x6.3</v>
      </c>
      <c r="E233" s="18">
        <f>IF(Loads!C28&lt;&gt;"", E216, "")</f>
        <v>350</v>
      </c>
      <c r="F233" s="172">
        <f>IF(Loads!C28&lt;&gt;"", F216, "")</f>
        <v>782.62379212492635</v>
      </c>
      <c r="G233" s="6">
        <f>IF(Loads!C28&lt;&gt;"", $E$151*$E$152*I125, "")</f>
        <v>989.5379999999999</v>
      </c>
      <c r="H233" s="8">
        <f>IF(Loads!C28&lt;&gt;"", G233*(E233/F233), "")</f>
        <v>442.5348468638374</v>
      </c>
      <c r="R233" s="24"/>
    </row>
    <row r="234" spans="3:18" x14ac:dyDescent="0.25">
      <c r="C234" s="23">
        <v>6</v>
      </c>
      <c r="D234" s="18" t="str">
        <f>IF(Loads!C29&lt;&gt;"", D217, "")</f>
        <v>CHS 177.8x6.3</v>
      </c>
      <c r="E234" s="18">
        <f>IF(Loads!C29&lt;&gt;"", E217, "")</f>
        <v>350</v>
      </c>
      <c r="F234" s="172">
        <f>IF(Loads!C29&lt;&gt;"", F217, "")</f>
        <v>782.62379212492635</v>
      </c>
      <c r="G234" s="6">
        <f>IF(Loads!C29&lt;&gt;"", $E$151*$E$152*I126, "")</f>
        <v>1213.68335</v>
      </c>
      <c r="H234" s="8">
        <f>IF(Loads!C29&lt;&gt;"", G234*(E234/F234), "")</f>
        <v>542.77569475193388</v>
      </c>
      <c r="R234" s="24"/>
    </row>
    <row r="235" spans="3:18" x14ac:dyDescent="0.25">
      <c r="C235" s="23">
        <v>7</v>
      </c>
      <c r="D235" s="18" t="str">
        <f>IF(Loads!C30&lt;&gt;"", D218, "")</f>
        <v/>
      </c>
      <c r="E235" s="18" t="str">
        <f>IF(Loads!C30&lt;&gt;"", E218, "")</f>
        <v/>
      </c>
      <c r="F235" s="172" t="str">
        <f>IF(Loads!C30&lt;&gt;"", F218, "")</f>
        <v/>
      </c>
      <c r="G235" s="6" t="str">
        <f>IF(Loads!C30&lt;&gt;"", $E$151*$E$152*I127, "")</f>
        <v/>
      </c>
      <c r="H235" s="8" t="str">
        <f>IF(Loads!C30&lt;&gt;"", G235*(E235/F235), "")</f>
        <v/>
      </c>
      <c r="R235" s="24"/>
    </row>
    <row r="236" spans="3:18" x14ac:dyDescent="0.25">
      <c r="C236" s="23">
        <v>8</v>
      </c>
      <c r="D236" s="18" t="str">
        <f>IF(Loads!C31&lt;&gt;"", D219, "")</f>
        <v/>
      </c>
      <c r="E236" s="18" t="str">
        <f>IF(Loads!C31&lt;&gt;"", E219, "")</f>
        <v/>
      </c>
      <c r="F236" s="172" t="str">
        <f>IF(Loads!C31&lt;&gt;"", F219, "")</f>
        <v/>
      </c>
      <c r="G236" s="6" t="str">
        <f>IF(Loads!C31&lt;&gt;"", $E$151*$E$152*I128, "")</f>
        <v/>
      </c>
      <c r="H236" s="8" t="str">
        <f>IF(Loads!C31&lt;&gt;"", G236*(E236/F236), "")</f>
        <v/>
      </c>
      <c r="R236" s="24"/>
    </row>
    <row r="237" spans="3:18" x14ac:dyDescent="0.25">
      <c r="C237" s="23">
        <v>9</v>
      </c>
      <c r="D237" s="18" t="str">
        <f>IF(Loads!C32&lt;&gt;"", D220, "")</f>
        <v/>
      </c>
      <c r="E237" s="18" t="str">
        <f>IF(Loads!C32&lt;&gt;"", E220, "")</f>
        <v/>
      </c>
      <c r="F237" s="172" t="str">
        <f>IF(Loads!C32&lt;&gt;"", F220, "")</f>
        <v/>
      </c>
      <c r="G237" s="6" t="str">
        <f>IF(Loads!C32&lt;&gt;"", $E$151*$E$152*I129, "")</f>
        <v/>
      </c>
      <c r="H237" s="8" t="str">
        <f>IF(Loads!C32&lt;&gt;"", G237*(E237/F237), "")</f>
        <v/>
      </c>
      <c r="R237" s="24"/>
    </row>
    <row r="238" spans="3:18" x14ac:dyDescent="0.25">
      <c r="C238" s="23"/>
      <c r="F238" s="20"/>
      <c r="R238" s="24"/>
    </row>
    <row r="239" spans="3:18" ht="18" x14ac:dyDescent="0.35">
      <c r="C239" s="151" t="s">
        <v>63</v>
      </c>
      <c r="D239" s="127" t="s">
        <v>64</v>
      </c>
      <c r="E239" s="127" t="s">
        <v>255</v>
      </c>
      <c r="F239" s="127" t="s">
        <v>351</v>
      </c>
      <c r="G239" s="127" t="s">
        <v>69</v>
      </c>
      <c r="H239" s="127" t="s">
        <v>92</v>
      </c>
      <c r="I239" s="127" t="s">
        <v>91</v>
      </c>
      <c r="J239" s="127" t="s">
        <v>95</v>
      </c>
      <c r="K239" s="127" t="s">
        <v>71</v>
      </c>
      <c r="L239" s="127" t="s">
        <v>352</v>
      </c>
      <c r="M239" s="127" t="s">
        <v>353</v>
      </c>
      <c r="N239" s="127" t="s">
        <v>354</v>
      </c>
      <c r="O239" s="127" t="s">
        <v>355</v>
      </c>
      <c r="P239" s="127" t="s">
        <v>368</v>
      </c>
      <c r="R239" s="24"/>
    </row>
    <row r="240" spans="3:18" ht="15.75" thickBot="1" x14ac:dyDescent="0.3">
      <c r="C240" s="164" t="str">
        <f>C223</f>
        <v>HEB 650</v>
      </c>
      <c r="D240" s="38">
        <f t="shared" ref="D240:G240" si="14">D223</f>
        <v>286.3</v>
      </c>
      <c r="E240" s="38">
        <f t="shared" si="14"/>
        <v>6.87</v>
      </c>
      <c r="F240" s="38">
        <f t="shared" si="14"/>
        <v>0.34</v>
      </c>
      <c r="G240" s="38">
        <f t="shared" si="14"/>
        <v>350</v>
      </c>
      <c r="H240" s="38">
        <f>H223</f>
        <v>969.3</v>
      </c>
      <c r="I240" s="45">
        <f>SUM(H229:H237)</f>
        <v>3226.9842185514144</v>
      </c>
      <c r="J240" s="45">
        <f>H240+I240</f>
        <v>4196.2842185514146</v>
      </c>
      <c r="K240" s="38">
        <f>G240</f>
        <v>350</v>
      </c>
      <c r="L240" s="28">
        <f>K240/E240/$D$78</f>
        <v>0.54255742970393406</v>
      </c>
      <c r="M240" s="82">
        <f>0.5*(1+F240*(L240-0.2)+L240^2)</f>
        <v>0.70541904531313848</v>
      </c>
      <c r="N240" s="28">
        <f>MIN(1/(M240+SQRT(M240^2-L240^2)), 1)</f>
        <v>0.86486576473449372</v>
      </c>
      <c r="O240" s="82">
        <f>N240*D240*$D$75/$D$77</f>
        <v>5289.8728258381007</v>
      </c>
      <c r="P240" s="28">
        <f>J240/O240</f>
        <v>0.79326750504376764</v>
      </c>
      <c r="Q240" s="64" t="str">
        <f>IF(P240&lt;1,"OK!","NG!")</f>
        <v>OK!</v>
      </c>
      <c r="R240" s="30"/>
    </row>
    <row r="241" spans="3:18" x14ac:dyDescent="0.25">
      <c r="C241" s="5"/>
      <c r="D241" s="5"/>
      <c r="E241" s="5"/>
      <c r="F241" s="5"/>
      <c r="G241" s="5"/>
      <c r="H241" s="5"/>
      <c r="I241" s="8"/>
      <c r="J241" s="8"/>
      <c r="K241" s="5"/>
      <c r="L241" s="9"/>
      <c r="M241" s="6"/>
      <c r="N241" s="9"/>
      <c r="O241" s="6"/>
      <c r="P241" s="9"/>
      <c r="Q241" s="2"/>
      <c r="R241" s="163"/>
    </row>
    <row r="242" spans="3:18" ht="15.75" thickBot="1" x14ac:dyDescent="0.3">
      <c r="J242" s="171"/>
      <c r="R242" s="29"/>
    </row>
    <row r="243" spans="3:18" ht="15.75" x14ac:dyDescent="0.25">
      <c r="C243" s="167" t="s">
        <v>284</v>
      </c>
      <c r="D243" s="160"/>
      <c r="E243" s="160"/>
      <c r="F243" s="160"/>
      <c r="G243" s="160"/>
      <c r="H243" s="160"/>
      <c r="I243" s="173"/>
      <c r="J243" s="160"/>
      <c r="K243" s="160"/>
      <c r="L243" s="160"/>
      <c r="M243" s="160"/>
      <c r="N243" s="160"/>
      <c r="O243" s="160"/>
      <c r="P243" s="174"/>
      <c r="Q243" s="163"/>
      <c r="R243" s="129"/>
    </row>
    <row r="244" spans="3:18" x14ac:dyDescent="0.25">
      <c r="C244" s="76"/>
      <c r="D244" s="4"/>
      <c r="E244" s="8"/>
      <c r="F244" s="5"/>
      <c r="G244" s="20"/>
      <c r="H244" s="5"/>
      <c r="I244" s="5"/>
      <c r="J244" s="8"/>
      <c r="K244" s="5"/>
      <c r="L244" s="9"/>
      <c r="M244" s="6"/>
      <c r="N244" s="9"/>
      <c r="O244" s="6"/>
      <c r="P244" s="9"/>
      <c r="Q244" s="2"/>
      <c r="R244" s="24"/>
    </row>
    <row r="245" spans="3:18" x14ac:dyDescent="0.25">
      <c r="C245" s="166" t="s">
        <v>93</v>
      </c>
      <c r="D245" s="5">
        <f>0.2*'Cross Sections and Materials'!M9</f>
        <v>34404</v>
      </c>
      <c r="E245" s="175" t="s">
        <v>103</v>
      </c>
      <c r="F245" s="5"/>
      <c r="G245" s="20"/>
      <c r="H245" s="5"/>
      <c r="I245" s="5"/>
      <c r="J245" s="8"/>
      <c r="K245" s="5"/>
      <c r="L245" s="9"/>
      <c r="M245" s="6"/>
      <c r="N245" s="9"/>
      <c r="O245" s="6"/>
      <c r="P245" s="9"/>
      <c r="Q245" s="2"/>
      <c r="R245" s="24"/>
    </row>
    <row r="246" spans="3:18" x14ac:dyDescent="0.25">
      <c r="C246" s="166" t="s">
        <v>95</v>
      </c>
      <c r="D246" s="13">
        <f>J240</f>
        <v>4196.2842185514146</v>
      </c>
      <c r="E246" s="175" t="s">
        <v>31</v>
      </c>
      <c r="F246" s="5"/>
      <c r="G246" s="20"/>
      <c r="H246" s="5"/>
      <c r="I246" s="5"/>
      <c r="J246" s="8"/>
      <c r="K246" s="5"/>
      <c r="L246" s="9"/>
      <c r="M246" s="6"/>
      <c r="N246" s="9"/>
      <c r="O246" s="6"/>
      <c r="P246" s="9"/>
      <c r="Q246" s="2"/>
      <c r="R246" s="24"/>
    </row>
    <row r="247" spans="3:18" x14ac:dyDescent="0.25">
      <c r="C247" s="76"/>
      <c r="D247" s="4"/>
      <c r="E247" s="8"/>
      <c r="F247" s="5"/>
      <c r="G247" s="20"/>
      <c r="H247" s="5"/>
      <c r="I247" s="5"/>
      <c r="K247" s="5"/>
      <c r="L247" s="9"/>
      <c r="M247" s="6"/>
      <c r="N247" s="9"/>
      <c r="O247" s="6"/>
      <c r="P247" s="9"/>
      <c r="Q247" s="2"/>
      <c r="R247" s="24"/>
    </row>
    <row r="248" spans="3:18" ht="18" x14ac:dyDescent="0.35">
      <c r="C248" s="151" t="s">
        <v>63</v>
      </c>
      <c r="D248" s="127" t="s">
        <v>96</v>
      </c>
      <c r="E248" s="127" t="s">
        <v>97</v>
      </c>
      <c r="F248" s="127" t="s">
        <v>110</v>
      </c>
      <c r="G248" s="127" t="s">
        <v>99</v>
      </c>
      <c r="H248" s="127" t="s">
        <v>111</v>
      </c>
      <c r="I248" s="127" t="s">
        <v>98</v>
      </c>
      <c r="J248" s="127" t="s">
        <v>100</v>
      </c>
      <c r="K248" s="127" t="s">
        <v>107</v>
      </c>
      <c r="L248" s="127" t="s">
        <v>108</v>
      </c>
      <c r="M248" s="127" t="s">
        <v>109</v>
      </c>
      <c r="N248" s="127" t="s">
        <v>116</v>
      </c>
      <c r="O248" s="127" t="s">
        <v>112</v>
      </c>
      <c r="P248" s="127" t="s">
        <v>113</v>
      </c>
      <c r="Q248" s="2"/>
      <c r="R248" s="24"/>
    </row>
    <row r="249" spans="3:18" x14ac:dyDescent="0.25">
      <c r="C249" s="76" t="str">
        <f>C240</f>
        <v>HEB 650</v>
      </c>
      <c r="D249" s="5">
        <f>'Cross Sections and Materials'!M9</f>
        <v>172020</v>
      </c>
      <c r="E249" s="5">
        <f>D240*D75/D76</f>
        <v>6728.05</v>
      </c>
      <c r="F249" s="5">
        <f>'Cross Sections and Materials'!D9</f>
        <v>30</v>
      </c>
      <c r="G249" s="5">
        <f>'Cross Sections and Materials'!E9</f>
        <v>1.7</v>
      </c>
      <c r="H249" s="5">
        <f>'Cross Sections and Materials'!F9</f>
        <v>3.2</v>
      </c>
      <c r="I249" s="5">
        <f>'Cross Sections and Materials'!N9</f>
        <v>58.6</v>
      </c>
      <c r="J249" s="5">
        <f>'Cross Sections and Materials'!G9</f>
        <v>286.3</v>
      </c>
      <c r="K249" s="18" t="str">
        <f>IF(MIN(0.25*E249, 0.5*J249*G249*$D$75/$D$76) &lt; ABS(D246), "JA", "NEIN")</f>
        <v>JA</v>
      </c>
      <c r="L249" s="9">
        <f>IF(K249="JA", ABS(D246)/E249, 0)</f>
        <v>0.62369991580791084</v>
      </c>
      <c r="M249" s="9">
        <f>IF(K249="JA", MIN((J249-2*F249*H249)/J249, 0.5), 0)</f>
        <v>0.3293747816975201</v>
      </c>
      <c r="N249" s="13">
        <f>MIN(D249, D249*(1-L249)/(1-0.5*M249))</f>
        <v>77493.311813521403</v>
      </c>
      <c r="O249" s="9">
        <f>ABS(D246)/E249</f>
        <v>0.62369991580791084</v>
      </c>
      <c r="P249" s="9">
        <f>D245/N249</f>
        <v>0.44396089410643857</v>
      </c>
      <c r="Q249" s="2" t="str">
        <f>IF(AND(AND(P249&lt;=1, P249&gt;=0), O249&lt;=1),"OK!","NG!")</f>
        <v>OK!</v>
      </c>
      <c r="R249" s="24"/>
    </row>
    <row r="250" spans="3:18" x14ac:dyDescent="0.25">
      <c r="C250" s="26"/>
      <c r="D250" s="2"/>
      <c r="E250" s="2"/>
      <c r="F250" s="2"/>
      <c r="G250" s="2"/>
      <c r="H250" s="2"/>
      <c r="I250" s="14"/>
      <c r="K250" s="5"/>
      <c r="L250" s="9"/>
      <c r="M250" s="6"/>
      <c r="N250" s="9"/>
      <c r="O250" s="6"/>
      <c r="P250" s="9"/>
      <c r="Q250" s="2"/>
      <c r="R250" s="24"/>
    </row>
    <row r="251" spans="3:18" x14ac:dyDescent="0.25">
      <c r="C251" s="95" t="s">
        <v>341</v>
      </c>
      <c r="D251" s="180">
        <v>1</v>
      </c>
      <c r="E251" s="8" t="s">
        <v>346</v>
      </c>
      <c r="F251" s="20"/>
      <c r="G251" s="8"/>
      <c r="H251" s="5"/>
      <c r="I251" s="9"/>
      <c r="J251" s="2"/>
      <c r="K251" s="5"/>
      <c r="L251" s="9"/>
      <c r="M251" s="6"/>
      <c r="N251" s="9"/>
      <c r="O251" s="6"/>
      <c r="P251" s="9"/>
      <c r="Q251" s="2"/>
      <c r="R251" s="24"/>
    </row>
    <row r="252" spans="3:18" x14ac:dyDescent="0.25">
      <c r="C252" s="95" t="s">
        <v>342</v>
      </c>
      <c r="D252" s="180">
        <v>0.6</v>
      </c>
      <c r="E252" t="s">
        <v>345</v>
      </c>
      <c r="R252" s="24"/>
    </row>
    <row r="253" spans="3:18" x14ac:dyDescent="0.25">
      <c r="C253" s="95" t="s">
        <v>343</v>
      </c>
      <c r="D253" s="180">
        <v>1</v>
      </c>
      <c r="E253" s="8" t="s">
        <v>346</v>
      </c>
      <c r="R253" s="24"/>
    </row>
    <row r="254" spans="3:18" x14ac:dyDescent="0.25">
      <c r="C254" s="170" t="s">
        <v>344</v>
      </c>
      <c r="D254" s="180">
        <v>1</v>
      </c>
      <c r="E254" t="s">
        <v>347</v>
      </c>
      <c r="R254" s="24"/>
    </row>
    <row r="255" spans="3:18" x14ac:dyDescent="0.25">
      <c r="C255" s="23"/>
      <c r="R255" s="24"/>
    </row>
    <row r="256" spans="3:18" ht="18" x14ac:dyDescent="0.35">
      <c r="C256" s="151" t="s">
        <v>63</v>
      </c>
      <c r="D256" s="127" t="s">
        <v>64</v>
      </c>
      <c r="E256" s="127" t="s">
        <v>348</v>
      </c>
      <c r="F256" s="127" t="s">
        <v>360</v>
      </c>
      <c r="G256" s="127" t="s">
        <v>69</v>
      </c>
      <c r="H256" s="127" t="s">
        <v>71</v>
      </c>
      <c r="I256" s="127" t="s">
        <v>356</v>
      </c>
      <c r="J256" s="127" t="s">
        <v>357</v>
      </c>
      <c r="K256" s="127" t="s">
        <v>358</v>
      </c>
      <c r="L256" s="127" t="s">
        <v>359</v>
      </c>
      <c r="M256" s="127" t="s">
        <v>367</v>
      </c>
      <c r="R256" s="24"/>
    </row>
    <row r="257" spans="3:18" x14ac:dyDescent="0.25">
      <c r="C257" s="76" t="str">
        <f>C249</f>
        <v>HEB 650</v>
      </c>
      <c r="D257" s="6">
        <f>'Cross Sections and Materials'!G9</f>
        <v>286.3</v>
      </c>
      <c r="E257" s="6">
        <f>'Cross Sections and Materials'!I9</f>
        <v>29</v>
      </c>
      <c r="F257" s="6">
        <f>'Cross Sections and Materials'!K9</f>
        <v>0.21</v>
      </c>
      <c r="G257" s="6">
        <f>G240</f>
        <v>350</v>
      </c>
      <c r="H257" s="6">
        <f>1*G257</f>
        <v>350</v>
      </c>
      <c r="I257" s="6">
        <f>H257/(E257*D78)</f>
        <v>0.12852998420917336</v>
      </c>
      <c r="J257" s="6">
        <f>0.5*(1+F257*(I257-0.2)+I257^2)</f>
        <v>0.5007556267623684</v>
      </c>
      <c r="K257" s="6">
        <f>MIN(1/(J257+SQRT(J257^2-I257^2)), 1)</f>
        <v>1</v>
      </c>
      <c r="L257" s="6">
        <f>K257*D257*$D$75/$D$77</f>
        <v>6116.409090909091</v>
      </c>
      <c r="M257" s="6">
        <f>J240/L257</f>
        <v>0.68606990738870188</v>
      </c>
      <c r="R257" s="24"/>
    </row>
    <row r="258" spans="3:18" x14ac:dyDescent="0.25">
      <c r="C258" s="23"/>
      <c r="R258" s="24"/>
    </row>
    <row r="259" spans="3:18" x14ac:dyDescent="0.25">
      <c r="C259" s="23" t="s">
        <v>361</v>
      </c>
      <c r="D259" s="5">
        <f>MIN(D251*(1+(I257-0.2)*M257), D251*(1+0.8*M257))</f>
        <v>0.9509665728853185</v>
      </c>
      <c r="R259" s="24"/>
    </row>
    <row r="260" spans="3:18" x14ac:dyDescent="0.25">
      <c r="C260" s="23" t="s">
        <v>363</v>
      </c>
      <c r="D260" s="5">
        <f>0.6*D262</f>
        <v>0.49853730750556957</v>
      </c>
      <c r="R260" s="24"/>
    </row>
    <row r="261" spans="3:18" x14ac:dyDescent="0.25">
      <c r="C261" s="23" t="s">
        <v>364</v>
      </c>
      <c r="D261" s="5">
        <f>IF(L240&lt;0.4, MIN(0.6+L240, 1-(0.1*L240*P240)/((D253-0.25))), MAX(1-(0.1*L240*P240)/((D253-0.25)), 1-(0.1 * P240/((D253-0.25)))))</f>
        <v>0.94261424285277351</v>
      </c>
      <c r="R261" s="24"/>
    </row>
    <row r="262" spans="3:18" x14ac:dyDescent="0.25">
      <c r="C262" s="23" t="s">
        <v>362</v>
      </c>
      <c r="D262" s="5">
        <f>MIN(D252*(1+(2*L240-0.6)*P240), D252*(1+1.4*P240))</f>
        <v>0.83089551250928262</v>
      </c>
      <c r="R262" s="24"/>
    </row>
    <row r="263" spans="3:18" x14ac:dyDescent="0.25">
      <c r="C263" s="26"/>
      <c r="D263" s="5"/>
      <c r="R263" s="24"/>
    </row>
    <row r="264" spans="3:18" ht="18" x14ac:dyDescent="0.35">
      <c r="C264" s="26" t="s">
        <v>365</v>
      </c>
      <c r="D264" s="6">
        <f>M257 + D259*D245/(D254*D249)</f>
        <v>0.87626322196576556</v>
      </c>
      <c r="E264" s="2" t="str">
        <f>IF(D264&lt;1,"OK!","NG!")</f>
        <v>OK!</v>
      </c>
      <c r="R264" s="24"/>
    </row>
    <row r="265" spans="3:18" ht="18.75" thickBot="1" x14ac:dyDescent="0.4">
      <c r="C265" s="110" t="s">
        <v>366</v>
      </c>
      <c r="D265" s="82">
        <f>P240 + D261*D245/(D254*D249)</f>
        <v>0.98179035361432232</v>
      </c>
      <c r="E265" s="64" t="str">
        <f>IF(D265&lt;1,"OK!","NG!")</f>
        <v>OK!</v>
      </c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30"/>
    </row>
    <row r="269" spans="3:18" x14ac:dyDescent="0.25">
      <c r="C269" s="15"/>
    </row>
    <row r="273" spans="3:4" x14ac:dyDescent="0.25">
      <c r="C273" s="10"/>
    </row>
    <row r="275" spans="3:4" x14ac:dyDescent="0.25">
      <c r="D275" s="13"/>
    </row>
    <row r="276" spans="3:4" x14ac:dyDescent="0.25">
      <c r="D276" s="6"/>
    </row>
    <row r="277" spans="3:4" x14ac:dyDescent="0.25">
      <c r="D277" s="5"/>
    </row>
    <row r="279" spans="3:4" x14ac:dyDescent="0.25">
      <c r="C279" s="1"/>
      <c r="D279" s="5"/>
    </row>
    <row r="280" spans="3:4" x14ac:dyDescent="0.25">
      <c r="C280" s="1"/>
      <c r="D280" s="4"/>
    </row>
    <row r="281" spans="3:4" x14ac:dyDescent="0.25">
      <c r="D281" s="8"/>
    </row>
    <row r="282" spans="3:4" x14ac:dyDescent="0.25">
      <c r="D282" s="8"/>
    </row>
    <row r="283" spans="3:4" x14ac:dyDescent="0.25">
      <c r="D283" s="8"/>
    </row>
  </sheetData>
  <conditionalFormatting sqref="E264:E265">
    <cfRule type="cellIs" dxfId="44" priority="1" operator="equal">
      <formula>"NG!"</formula>
    </cfRule>
    <cfRule type="cellIs" dxfId="43" priority="2" operator="equal">
      <formula>"OK..."</formula>
    </cfRule>
    <cfRule type="cellIs" dxfId="42" priority="3" operator="equal">
      <formula>"OK!"</formula>
    </cfRule>
  </conditionalFormatting>
  <conditionalFormatting sqref="F21:F29 M95:M104 M131 Q161:Q162 Q168:Q202">
    <cfRule type="cellIs" dxfId="41" priority="39" operator="equal">
      <formula>"OK!"</formula>
    </cfRule>
    <cfRule type="cellIs" dxfId="40" priority="38" operator="equal">
      <formula>"OK..."</formula>
    </cfRule>
    <cfRule type="cellIs" dxfId="39" priority="37" operator="equal">
      <formula>"NG!"</formula>
    </cfRule>
  </conditionalFormatting>
  <conditionalFormatting sqref="G138:G146">
    <cfRule type="cellIs" dxfId="38" priority="23" operator="equal">
      <formula>"OK..."</formula>
    </cfRule>
    <cfRule type="cellIs" dxfId="37" priority="22" operator="equal">
      <formula>"NG!"</formula>
    </cfRule>
    <cfRule type="cellIs" dxfId="36" priority="24" operator="equal">
      <formula>"OK!"</formula>
    </cfRule>
  </conditionalFormatting>
  <conditionalFormatting sqref="I35:I42">
    <cfRule type="cellIs" dxfId="35" priority="31" operator="equal">
      <formula>"NG!"</formula>
    </cfRule>
    <cfRule type="cellIs" dxfId="34" priority="32" operator="equal">
      <formula>"OK..."</formula>
    </cfRule>
    <cfRule type="cellIs" dxfId="33" priority="33" operator="equal">
      <formula>"OK!"</formula>
    </cfRule>
  </conditionalFormatting>
  <conditionalFormatting sqref="J251">
    <cfRule type="cellIs" dxfId="32" priority="28" operator="equal">
      <formula>"NG!"</formula>
    </cfRule>
    <cfRule type="cellIs" dxfId="31" priority="29" operator="equal">
      <formula>"OK..."</formula>
    </cfRule>
    <cfRule type="cellIs" dxfId="30" priority="30" operator="equal">
      <formula>"OK!"</formula>
    </cfRule>
  </conditionalFormatting>
  <conditionalFormatting sqref="K60:K68">
    <cfRule type="cellIs" dxfId="29" priority="89" operator="equal">
      <formula>"OK!"</formula>
    </cfRule>
    <cfRule type="cellIs" dxfId="28" priority="88" operator="equal">
      <formula>"OK..."</formula>
    </cfRule>
    <cfRule type="cellIs" dxfId="27" priority="87" operator="equal">
      <formula>"NG!"</formula>
    </cfRule>
  </conditionalFormatting>
  <conditionalFormatting sqref="K82:K90">
    <cfRule type="cellIs" dxfId="26" priority="71" operator="equal">
      <formula>"OK!"</formula>
    </cfRule>
    <cfRule type="cellIs" dxfId="25" priority="70" operator="equal">
      <formula>"OK..."</formula>
    </cfRule>
    <cfRule type="cellIs" dxfId="24" priority="69" operator="equal">
      <formula>"NG!"</formula>
    </cfRule>
  </conditionalFormatting>
  <conditionalFormatting sqref="L9:L16">
    <cfRule type="cellIs" dxfId="23" priority="34" operator="equal">
      <formula>"NG!"</formula>
    </cfRule>
    <cfRule type="cellIs" dxfId="22" priority="35" operator="equal">
      <formula>"OK..."</formula>
    </cfRule>
    <cfRule type="cellIs" dxfId="21" priority="36" operator="equal">
      <formula>"OK!"</formula>
    </cfRule>
  </conditionalFormatting>
  <conditionalFormatting sqref="L47:L55">
    <cfRule type="cellIs" dxfId="20" priority="92" operator="equal">
      <formula>"OK!"</formula>
    </cfRule>
    <cfRule type="cellIs" dxfId="19" priority="90" operator="equal">
      <formula>"NG!"</formula>
    </cfRule>
    <cfRule type="cellIs" dxfId="18" priority="91" operator="equal">
      <formula>"OK..."</formula>
    </cfRule>
  </conditionalFormatting>
  <conditionalFormatting sqref="L121:L131">
    <cfRule type="cellIs" dxfId="17" priority="57" operator="equal">
      <formula>"NG!"</formula>
    </cfRule>
    <cfRule type="cellIs" dxfId="16" priority="59" operator="equal">
      <formula>"OK!"</formula>
    </cfRule>
    <cfRule type="cellIs" dxfId="15" priority="58" operator="equal">
      <formula>"OK..."</formula>
    </cfRule>
  </conditionalFormatting>
  <conditionalFormatting sqref="M133:N133">
    <cfRule type="cellIs" dxfId="14" priority="27" operator="equal">
      <formula>"OK!"</formula>
    </cfRule>
    <cfRule type="cellIs" dxfId="13" priority="26" operator="equal">
      <formula>"OK..."</formula>
    </cfRule>
    <cfRule type="cellIs" dxfId="12" priority="25" operator="equal">
      <formula>"NG!"</formula>
    </cfRule>
  </conditionalFormatting>
  <conditionalFormatting sqref="O108:O116">
    <cfRule type="cellIs" dxfId="11" priority="54" operator="equal">
      <formula>"NG!"</formula>
    </cfRule>
    <cfRule type="cellIs" dxfId="10" priority="55" operator="equal">
      <formula>"OK..."</formula>
    </cfRule>
    <cfRule type="cellIs" dxfId="9" priority="56" operator="equal">
      <formula>"OK!"</formula>
    </cfRule>
  </conditionalFormatting>
  <conditionalFormatting sqref="Q206:Q221 Q223:Q224">
    <cfRule type="cellIs" dxfId="8" priority="46" operator="equal">
      <formula>"NG!"</formula>
    </cfRule>
    <cfRule type="cellIs" dxfId="7" priority="47" operator="equal">
      <formula>"OK..."</formula>
    </cfRule>
    <cfRule type="cellIs" dxfId="6" priority="48" operator="equal">
      <formula>"OK!"</formula>
    </cfRule>
  </conditionalFormatting>
  <conditionalFormatting sqref="Q240:Q241">
    <cfRule type="cellIs" dxfId="5" priority="21" operator="equal">
      <formula>"OK!"</formula>
    </cfRule>
    <cfRule type="cellIs" dxfId="4" priority="20" operator="equal">
      <formula>"OK..."</formula>
    </cfRule>
    <cfRule type="cellIs" dxfId="3" priority="19" operator="equal">
      <formula>"NG!"</formula>
    </cfRule>
  </conditionalFormatting>
  <conditionalFormatting sqref="Q244:Q251">
    <cfRule type="cellIs" dxfId="2" priority="18" operator="equal">
      <formula>"OK!"</formula>
    </cfRule>
    <cfRule type="cellIs" dxfId="1" priority="17" operator="equal">
      <formula>"OK..."</formula>
    </cfRule>
    <cfRule type="cellIs" dxfId="0" priority="16" operator="equal">
      <formula>"NG!"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customXml/itemProps2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5</vt:i4>
      </vt:variant>
    </vt:vector>
  </HeadingPairs>
  <TitlesOfParts>
    <vt:vector size="9" baseType="lpstr">
      <vt:lpstr>Loads</vt:lpstr>
      <vt:lpstr>Cross Sections and Materials</vt:lpstr>
      <vt:lpstr>Nonseismic_Design</vt:lpstr>
      <vt:lpstr>CBF_Seismic_Design_Verification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2025-04-10T11:20:16Z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