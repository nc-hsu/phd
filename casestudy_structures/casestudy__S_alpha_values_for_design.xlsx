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suhhde-my.sharepoint.com/personal/clemettn_hsu_hamburg/Documents/01_arbeit/14_PhD/"/>
    </mc:Choice>
  </mc:AlternateContent>
  <xr:revisionPtr revIDLastSave="12" documentId="13_ncr:1_{3EF92303-2A83-43A9-820D-7790CA7EBF03}" xr6:coauthVersionLast="47" xr6:coauthVersionMax="47" xr10:uidLastSave="{C4418256-F92F-43EE-B450-50F8BBE30067}"/>
  <bookViews>
    <workbookView xWindow="1520" yWindow="0" windowWidth="14790" windowHeight="11370" xr2:uid="{DC730AE3-3318-4566-B7B3-9327F9026A54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1" l="1"/>
  <c r="G11" i="1"/>
  <c r="F13" i="1"/>
  <c r="G7" i="1"/>
  <c r="F7" i="1"/>
  <c r="D8" i="1"/>
  <c r="F8" i="1" s="1"/>
  <c r="D9" i="1"/>
  <c r="F9" i="1" s="1"/>
  <c r="G9" i="1" s="1"/>
  <c r="D10" i="1"/>
  <c r="F10" i="1" s="1"/>
  <c r="G10" i="1" s="1"/>
  <c r="D11" i="1"/>
  <c r="F11" i="1" s="1"/>
  <c r="D12" i="1"/>
  <c r="F12" i="1" s="1"/>
  <c r="G12" i="1" s="1"/>
  <c r="D13" i="1"/>
  <c r="G13" i="1" s="1"/>
  <c r="D14" i="1"/>
  <c r="F14" i="1" s="1"/>
  <c r="G14" i="1" s="1"/>
  <c r="D15" i="1"/>
  <c r="F15" i="1" s="1"/>
  <c r="G15" i="1" s="1"/>
  <c r="D16" i="1"/>
  <c r="F16" i="1" s="1"/>
  <c r="G16" i="1" s="1"/>
  <c r="D7" i="1"/>
</calcChain>
</file>

<file path=xl/sharedStrings.xml><?xml version="1.0" encoding="utf-8"?>
<sst xmlns="http://schemas.openxmlformats.org/spreadsheetml/2006/main" count="20" uniqueCount="14">
  <si>
    <t>[g]</t>
  </si>
  <si>
    <t>[m/s²]</t>
  </si>
  <si>
    <r>
      <t>S</t>
    </r>
    <r>
      <rPr>
        <b/>
        <vertAlign val="subscript"/>
        <sz val="11"/>
        <color theme="1"/>
        <rFont val="Aptos Narrow"/>
        <family val="2"/>
      </rPr>
      <t>α,c</t>
    </r>
  </si>
  <si>
    <r>
      <t>F</t>
    </r>
    <r>
      <rPr>
        <vertAlign val="subscript"/>
        <sz val="11"/>
        <color theme="1"/>
        <rFont val="Aptos Narrow"/>
        <family val="2"/>
      </rPr>
      <t>α</t>
    </r>
    <r>
      <rPr>
        <sz val="11"/>
        <color theme="1"/>
        <rFont val="Aptos Narrow"/>
        <family val="2"/>
      </rPr>
      <t>·F</t>
    </r>
    <r>
      <rPr>
        <vertAlign val="subscript"/>
        <sz val="11"/>
        <color theme="1"/>
        <rFont val="Aptos Narrow"/>
        <family val="2"/>
      </rPr>
      <t>T</t>
    </r>
  </si>
  <si>
    <t>g</t>
  </si>
  <si>
    <t>m/s²</t>
  </si>
  <si>
    <r>
      <t>S</t>
    </r>
    <r>
      <rPr>
        <b/>
        <vertAlign val="subscript"/>
        <sz val="11"/>
        <color theme="1"/>
        <rFont val="Aptos Narrow"/>
        <family val="2"/>
      </rPr>
      <t>α,475</t>
    </r>
  </si>
  <si>
    <t>&lt;-- Soil Class C</t>
  </si>
  <si>
    <t>moderate</t>
  </si>
  <si>
    <t>low</t>
  </si>
  <si>
    <t>high</t>
  </si>
  <si>
    <t>very low</t>
  </si>
  <si>
    <t>Seismicity</t>
  </si>
  <si>
    <r>
      <t>S</t>
    </r>
    <r>
      <rPr>
        <b/>
        <vertAlign val="subscript"/>
        <sz val="11"/>
        <color theme="1"/>
        <rFont val="Aptos Narrow"/>
        <family val="2"/>
      </rPr>
      <t>δ</t>
    </r>
    <r>
      <rPr>
        <b/>
        <sz val="11"/>
        <color theme="1"/>
        <rFont val="Aptos Narrow"/>
        <family val="2"/>
        <scheme val="minor"/>
      </rPr>
      <t xml:space="preserve"> &gt;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</si>
</sst>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b/>
      <vertAlign val="subscript"/>
      <sz val="11"/>
      <color theme="1"/>
      <name val="Aptos Narrow"/>
      <family val="2"/>
    </font>
    <font>
      <sz val="11"/>
      <color rgb="FF0070C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1" fillId="0" borderId="0" xfId="0" applyFont="1"/>
    <xf numFmtId="164" fontId="6" fillId="0" borderId="0" xfId="0" applyNumberFormat="1" applyFont="1"/>
    <xf numFmtId="15" fontId="0" fillId="0" borderId="0" xfId="0" applyNumberFormat="1"/>
    <xf numFmtId="2" fontId="1" fillId="0" borderId="0" xfId="0" applyNumberFormat="1" applyFont="1"/>
    <xf numFmtId="2" fontId="6" fillId="0" borderId="0" xfId="0" applyNumberFormat="1" applyFont="1"/>
    <xf numFmtId="15" fontId="2" fillId="0" borderId="0" xfId="0" applyNumberFormat="1" applyFont="1"/>
    <xf numFmtId="15" fontId="2" fillId="0" borderId="0" xfId="0" applyNumberFormat="1" applyFont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36370-7B7D-47D6-AC6A-0502C8F0FCEA}">
  <dimension ref="C2:K18"/>
  <sheetViews>
    <sheetView tabSelected="1" workbookViewId="0">
      <selection activeCell="G9" sqref="G9"/>
    </sheetView>
  </sheetViews>
  <sheetFormatPr baseColWidth="10" defaultRowHeight="14.5" x14ac:dyDescent="0.35"/>
  <sheetData>
    <row r="2" spans="3:11" ht="16.5" x14ac:dyDescent="0.45">
      <c r="C2" t="s">
        <v>3</v>
      </c>
      <c r="D2" s="3">
        <v>1.456</v>
      </c>
      <c r="E2" t="s">
        <v>7</v>
      </c>
      <c r="I2" s="1" t="s">
        <v>12</v>
      </c>
      <c r="J2" s="8" t="s">
        <v>13</v>
      </c>
      <c r="K2" s="8"/>
    </row>
    <row r="3" spans="3:11" x14ac:dyDescent="0.35">
      <c r="C3" t="s">
        <v>4</v>
      </c>
      <c r="D3" s="3">
        <v>9.81</v>
      </c>
      <c r="E3" t="s">
        <v>5</v>
      </c>
      <c r="I3" s="1" t="s">
        <v>11</v>
      </c>
      <c r="J3">
        <v>0</v>
      </c>
      <c r="K3" t="s">
        <v>5</v>
      </c>
    </row>
    <row r="4" spans="3:11" x14ac:dyDescent="0.35">
      <c r="D4" s="3"/>
      <c r="I4" s="1" t="s">
        <v>9</v>
      </c>
      <c r="J4">
        <v>1.3</v>
      </c>
      <c r="K4" t="s">
        <v>5</v>
      </c>
    </row>
    <row r="5" spans="3:11" s="5" customFormat="1" ht="16.5" x14ac:dyDescent="0.45">
      <c r="C5" s="9" t="s">
        <v>6</v>
      </c>
      <c r="D5" s="9"/>
      <c r="F5" s="9" t="s">
        <v>2</v>
      </c>
      <c r="G5" s="9"/>
      <c r="I5" s="1" t="s">
        <v>8</v>
      </c>
      <c r="J5">
        <v>3.25</v>
      </c>
      <c r="K5" t="s">
        <v>5</v>
      </c>
    </row>
    <row r="6" spans="3:11" x14ac:dyDescent="0.35">
      <c r="C6" s="2" t="s">
        <v>1</v>
      </c>
      <c r="D6" s="2" t="s">
        <v>0</v>
      </c>
      <c r="F6" s="2" t="s">
        <v>0</v>
      </c>
      <c r="G6" s="2" t="s">
        <v>1</v>
      </c>
      <c r="I6" s="1" t="s">
        <v>10</v>
      </c>
      <c r="J6">
        <v>6.5</v>
      </c>
      <c r="K6" t="s">
        <v>5</v>
      </c>
    </row>
    <row r="7" spans="3:11" x14ac:dyDescent="0.35">
      <c r="C7" s="3">
        <v>0</v>
      </c>
      <c r="D7" s="6">
        <f>C7/$D$3</f>
        <v>0</v>
      </c>
      <c r="F7" s="7">
        <f>D7*$D$2</f>
        <v>0</v>
      </c>
      <c r="G7" s="4">
        <f t="shared" ref="G7:G16" si="0">F7*9.81</f>
        <v>0</v>
      </c>
    </row>
    <row r="8" spans="3:11" x14ac:dyDescent="0.35">
      <c r="C8" s="3">
        <v>1</v>
      </c>
      <c r="D8" s="6">
        <f t="shared" ref="D8:D16" si="1">C8/$D$3</f>
        <v>0.1019367991845056</v>
      </c>
      <c r="F8" s="7">
        <f t="shared" ref="F8:F16" si="2">D8*$D$2</f>
        <v>0.14841997961264014</v>
      </c>
      <c r="G8" s="4">
        <f>F8*9.81</f>
        <v>1.456</v>
      </c>
    </row>
    <row r="9" spans="3:11" x14ac:dyDescent="0.35">
      <c r="C9" s="3">
        <v>2</v>
      </c>
      <c r="D9" s="6">
        <f t="shared" si="1"/>
        <v>0.2038735983690112</v>
      </c>
      <c r="F9" s="7">
        <f t="shared" si="2"/>
        <v>0.29683995922528028</v>
      </c>
      <c r="G9" s="4">
        <f t="shared" si="0"/>
        <v>2.9119999999999999</v>
      </c>
    </row>
    <row r="10" spans="3:11" x14ac:dyDescent="0.35">
      <c r="C10" s="3">
        <v>3</v>
      </c>
      <c r="D10" s="6">
        <f t="shared" si="1"/>
        <v>0.3058103975535168</v>
      </c>
      <c r="F10" s="7">
        <f t="shared" si="2"/>
        <v>0.44525993883792042</v>
      </c>
      <c r="G10" s="4">
        <f t="shared" si="0"/>
        <v>4.3679999999999994</v>
      </c>
    </row>
    <row r="11" spans="3:11" x14ac:dyDescent="0.35">
      <c r="C11" s="3">
        <v>4</v>
      </c>
      <c r="D11" s="6">
        <f t="shared" si="1"/>
        <v>0.4077471967380224</v>
      </c>
      <c r="F11" s="7">
        <f t="shared" si="2"/>
        <v>0.59367991845056056</v>
      </c>
      <c r="G11" s="4">
        <f>F11*9.81</f>
        <v>5.8239999999999998</v>
      </c>
    </row>
    <row r="12" spans="3:11" x14ac:dyDescent="0.35">
      <c r="C12" s="3">
        <v>5</v>
      </c>
      <c r="D12" s="6">
        <f t="shared" si="1"/>
        <v>0.509683995922528</v>
      </c>
      <c r="F12" s="7">
        <f t="shared" si="2"/>
        <v>0.74209989806320076</v>
      </c>
      <c r="G12" s="4">
        <f t="shared" si="0"/>
        <v>7.28</v>
      </c>
    </row>
    <row r="13" spans="3:11" x14ac:dyDescent="0.35">
      <c r="C13" s="3">
        <v>6</v>
      </c>
      <c r="D13" s="6">
        <f t="shared" si="1"/>
        <v>0.6116207951070336</v>
      </c>
      <c r="F13" s="7">
        <f>D13*$D$2</f>
        <v>0.89051987767584084</v>
      </c>
      <c r="G13" s="4">
        <f t="shared" si="0"/>
        <v>8.7359999999999989</v>
      </c>
    </row>
    <row r="14" spans="3:11" x14ac:dyDescent="0.35">
      <c r="C14" s="3">
        <v>7</v>
      </c>
      <c r="D14" s="6">
        <f t="shared" si="1"/>
        <v>0.7135575942915392</v>
      </c>
      <c r="F14" s="7">
        <f t="shared" si="2"/>
        <v>1.0389398572884812</v>
      </c>
      <c r="G14" s="4">
        <f t="shared" si="0"/>
        <v>10.192</v>
      </c>
    </row>
    <row r="15" spans="3:11" x14ac:dyDescent="0.35">
      <c r="C15" s="3">
        <v>10</v>
      </c>
      <c r="D15" s="6">
        <f t="shared" si="1"/>
        <v>1.019367991845056</v>
      </c>
      <c r="F15" s="7">
        <f t="shared" si="2"/>
        <v>1.4841997961264015</v>
      </c>
      <c r="G15" s="4">
        <f t="shared" si="0"/>
        <v>14.56</v>
      </c>
    </row>
    <row r="16" spans="3:11" x14ac:dyDescent="0.35">
      <c r="C16" s="3">
        <v>12</v>
      </c>
      <c r="D16" s="6">
        <f t="shared" si="1"/>
        <v>1.2232415902140672</v>
      </c>
      <c r="F16" s="7">
        <f t="shared" si="2"/>
        <v>1.7810397553516817</v>
      </c>
      <c r="G16" s="4">
        <f t="shared" si="0"/>
        <v>17.471999999999998</v>
      </c>
    </row>
    <row r="17" spans="3:7" x14ac:dyDescent="0.35">
      <c r="C17" s="3"/>
      <c r="D17" s="6"/>
      <c r="F17" s="7"/>
      <c r="G17" s="4"/>
    </row>
    <row r="18" spans="3:7" x14ac:dyDescent="0.35">
      <c r="C18" s="3"/>
      <c r="D18" s="6"/>
      <c r="F18" s="7"/>
      <c r="G18" s="4"/>
    </row>
  </sheetData>
  <mergeCells count="2">
    <mergeCell ref="F5:G5"/>
    <mergeCell ref="C5:D5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Nicholas Aaron Clemett</dc:creator>
  <cp:lastModifiedBy>Nicholas Aaron Clemett</cp:lastModifiedBy>
  <dcterms:created xsi:type="dcterms:W3CDTF">2025-03-26T12:37:13Z</dcterms:created>
  <dcterms:modified xsi:type="dcterms:W3CDTF">2025-06-26T09:24:20Z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fd2079b-6d85-4185-8122-5cca51dad164_Enabled">
    <vt:lpwstr>true</vt:lpwstr>
  </property>
  <property fmtid="{D5CDD505-2E9C-101B-9397-08002B2CF9AE}" pid="3" name="MSIP_Label_8fd2079b-6d85-4185-8122-5cca51dad164_SetDate">
    <vt:lpwstr>2025-03-26T12:48:12Z</vt:lpwstr>
  </property>
  <property fmtid="{D5CDD505-2E9C-101B-9397-08002B2CF9AE}" pid="4" name="MSIP_Label_8fd2079b-6d85-4185-8122-5cca51dad164_Method">
    <vt:lpwstr>Standard</vt:lpwstr>
  </property>
  <property fmtid="{D5CDD505-2E9C-101B-9397-08002B2CF9AE}" pid="5" name="MSIP_Label_8fd2079b-6d85-4185-8122-5cca51dad164_Name">
    <vt:lpwstr>Öffentlich</vt:lpwstr>
  </property>
  <property fmtid="{D5CDD505-2E9C-101B-9397-08002B2CF9AE}" pid="6" name="MSIP_Label_8fd2079b-6d85-4185-8122-5cca51dad164_SiteId">
    <vt:lpwstr>5832f73f-b0fa-45a0-80d9-7e32bd7fa822</vt:lpwstr>
  </property>
  <property fmtid="{D5CDD505-2E9C-101B-9397-08002B2CF9AE}" pid="7" name="MSIP_Label_8fd2079b-6d85-4185-8122-5cca51dad164_ActionId">
    <vt:lpwstr>da360e6d-8fd5-4960-ac88-1c7a5ab96dc5</vt:lpwstr>
  </property>
  <property fmtid="{D5CDD505-2E9C-101B-9397-08002B2CF9AE}" pid="8" name="MSIP_Label_8fd2079b-6d85-4185-8122-5cca51dad164_ContentBits">
    <vt:lpwstr>0</vt:lpwstr>
  </property>
  <property fmtid="{D5CDD505-2E9C-101B-9397-08002B2CF9AE}" pid="9" name="MSIP_Label_8fd2079b-6d85-4185-8122-5cca51dad164_Tag">
    <vt:lpwstr>10, 3, 0, 1</vt:lpwstr>
  </property>
</Properties>
</file>