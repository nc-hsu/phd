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ttn\Documents\phd\casestudy_structures\"/>
    </mc:Choice>
  </mc:AlternateContent>
  <xr:revisionPtr revIDLastSave="0" documentId="13_ncr:1_{6DAB7950-B6B7-4DCC-A610-053E93FC09CF}" xr6:coauthVersionLast="47" xr6:coauthVersionMax="47" xr10:uidLastSave="{00000000-0000-0000-0000-000000000000}"/>
  <bookViews>
    <workbookView xWindow="30825" yWindow="810" windowWidth="21600" windowHeight="11295" xr2:uid="{DC730AE3-3318-4566-B7B3-9327F9026A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4" i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11" i="1"/>
  <c r="G11" i="1" s="1"/>
  <c r="F24" i="1"/>
  <c r="G24" i="1" s="1"/>
  <c r="D12" i="1"/>
  <c r="F12" i="1" s="1"/>
  <c r="G12" i="1" s="1"/>
  <c r="D13" i="1"/>
  <c r="F13" i="1" s="1"/>
  <c r="G13" i="1" s="1"/>
  <c r="D14" i="1"/>
  <c r="F14" i="1" s="1"/>
  <c r="G14" i="1" s="1"/>
  <c r="D15" i="1"/>
  <c r="F15" i="1" s="1"/>
  <c r="G15" i="1" s="1"/>
  <c r="D16" i="1"/>
  <c r="F16" i="1" s="1"/>
  <c r="G16" i="1" s="1"/>
  <c r="D17" i="1"/>
  <c r="D18" i="1"/>
  <c r="F18" i="1" s="1"/>
  <c r="G18" i="1" s="1"/>
  <c r="D19" i="1"/>
  <c r="F19" i="1" s="1"/>
  <c r="G19" i="1" s="1"/>
  <c r="D20" i="1"/>
  <c r="F20" i="1" s="1"/>
  <c r="G20" i="1" s="1"/>
  <c r="D11" i="1"/>
  <c r="F17" i="1" l="1"/>
  <c r="G17" i="1" s="1"/>
</calcChain>
</file>

<file path=xl/sharedStrings.xml><?xml version="1.0" encoding="utf-8"?>
<sst xmlns="http://schemas.openxmlformats.org/spreadsheetml/2006/main" count="29" uniqueCount="16">
  <si>
    <t>[g]</t>
  </si>
  <si>
    <t>[m/s²]</t>
  </si>
  <si>
    <r>
      <t>F</t>
    </r>
    <r>
      <rPr>
        <vertAlign val="subscript"/>
        <sz val="11"/>
        <color theme="1"/>
        <rFont val="Aptos Narrow"/>
        <family val="2"/>
      </rPr>
      <t>α</t>
    </r>
    <r>
      <rPr>
        <sz val="11"/>
        <color theme="1"/>
        <rFont val="Aptos Narrow"/>
        <family val="2"/>
      </rPr>
      <t>·F</t>
    </r>
    <r>
      <rPr>
        <vertAlign val="subscript"/>
        <sz val="11"/>
        <color theme="1"/>
        <rFont val="Aptos Narrow"/>
        <family val="2"/>
      </rPr>
      <t>T</t>
    </r>
  </si>
  <si>
    <t>g</t>
  </si>
  <si>
    <t>m/s²</t>
  </si>
  <si>
    <r>
      <t>S</t>
    </r>
    <r>
      <rPr>
        <b/>
        <vertAlign val="subscript"/>
        <sz val="11"/>
        <color theme="1"/>
        <rFont val="Aptos Narrow"/>
        <family val="2"/>
      </rPr>
      <t>α,475</t>
    </r>
  </si>
  <si>
    <t>&lt;-- Soil Class C</t>
  </si>
  <si>
    <t>moderate</t>
  </si>
  <si>
    <t>low</t>
  </si>
  <si>
    <t>high</t>
  </si>
  <si>
    <t>very low</t>
  </si>
  <si>
    <t>Seismicity</t>
  </si>
  <si>
    <r>
      <t>S</t>
    </r>
    <r>
      <rPr>
        <b/>
        <vertAlign val="subscript"/>
        <sz val="11"/>
        <color theme="1"/>
        <rFont val="Aptos Narrow"/>
        <family val="2"/>
      </rPr>
      <t>δ</t>
    </r>
    <r>
      <rPr>
        <b/>
        <sz val="11"/>
        <color theme="1"/>
        <rFont val="Aptos Narrow"/>
        <family val="2"/>
        <scheme val="minor"/>
      </rPr>
      <t xml:space="preserve"> &gt;</t>
    </r>
  </si>
  <si>
    <r>
      <t>S</t>
    </r>
    <r>
      <rPr>
        <b/>
        <vertAlign val="subscript"/>
        <sz val="11"/>
        <color theme="1"/>
        <rFont val="Aptos Narrow"/>
        <family val="2"/>
      </rPr>
      <t>α,A</t>
    </r>
  </si>
  <si>
    <r>
      <t>S</t>
    </r>
    <r>
      <rPr>
        <b/>
        <vertAlign val="subscript"/>
        <sz val="11"/>
        <color theme="1"/>
        <rFont val="Aptos Narrow"/>
        <family val="2"/>
      </rPr>
      <t>α,C</t>
    </r>
  </si>
  <si>
    <t>&lt;-- Soil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</si>
</sst>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164" fontId="6" fillId="0" borderId="0" xfId="0" applyNumberFormat="1" applyFont="1"/>
    <xf numFmtId="15" fontId="0" fillId="0" borderId="0" xfId="0" applyNumberFormat="1"/>
    <xf numFmtId="2" fontId="1" fillId="0" borderId="0" xfId="0" applyNumberFormat="1" applyFont="1"/>
    <xf numFmtId="2" fontId="6" fillId="0" borderId="0" xfId="0" applyNumberFormat="1" applyFont="1"/>
    <xf numFmtId="15" fontId="2" fillId="0" borderId="0" xfId="0" applyNumberFormat="1" applyFont="1"/>
    <xf numFmtId="15" fontId="2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6370-7B7D-47D6-AC6A-0502C8F0FCEA}">
  <dimension ref="C2:K33"/>
  <sheetViews>
    <sheetView tabSelected="1" topLeftCell="A15" workbookViewId="0">
      <selection activeCell="I31" sqref="I31"/>
    </sheetView>
  </sheetViews>
  <sheetFormatPr baseColWidth="10" defaultRowHeight="15" x14ac:dyDescent="0.25"/>
  <cols>
    <col min="8" max="8" width="15.85546875" customWidth="1"/>
  </cols>
  <sheetData>
    <row r="2" spans="3:11" ht="18" x14ac:dyDescent="0.35">
      <c r="I2" s="1" t="s">
        <v>11</v>
      </c>
      <c r="J2" s="8" t="s">
        <v>12</v>
      </c>
      <c r="K2" s="8"/>
    </row>
    <row r="3" spans="3:11" x14ac:dyDescent="0.25">
      <c r="C3" t="s">
        <v>3</v>
      </c>
      <c r="D3" s="3">
        <v>9.81</v>
      </c>
      <c r="E3" t="s">
        <v>4</v>
      </c>
      <c r="I3" s="1" t="s">
        <v>10</v>
      </c>
      <c r="J3">
        <v>0</v>
      </c>
      <c r="K3" t="s">
        <v>4</v>
      </c>
    </row>
    <row r="4" spans="3:11" x14ac:dyDescent="0.25">
      <c r="D4" s="3"/>
      <c r="I4" s="1" t="s">
        <v>8</v>
      </c>
      <c r="J4">
        <v>1.3</v>
      </c>
      <c r="K4" t="s">
        <v>4</v>
      </c>
    </row>
    <row r="5" spans="3:11" s="5" customFormat="1" x14ac:dyDescent="0.25">
      <c r="I5" s="1" t="s">
        <v>7</v>
      </c>
      <c r="J5">
        <v>3.25</v>
      </c>
      <c r="K5" t="s">
        <v>4</v>
      </c>
    </row>
    <row r="6" spans="3:11" x14ac:dyDescent="0.25">
      <c r="I6" s="1" t="s">
        <v>9</v>
      </c>
      <c r="J6">
        <v>6.5</v>
      </c>
      <c r="K6" t="s">
        <v>4</v>
      </c>
    </row>
    <row r="9" spans="3:11" ht="18" x14ac:dyDescent="0.35">
      <c r="C9" s="9" t="s">
        <v>5</v>
      </c>
      <c r="D9" s="9"/>
      <c r="E9" s="5"/>
      <c r="F9" s="9" t="s">
        <v>14</v>
      </c>
      <c r="G9" s="9"/>
      <c r="H9" t="s">
        <v>2</v>
      </c>
      <c r="I9" s="3">
        <v>1.456</v>
      </c>
      <c r="J9" t="s">
        <v>6</v>
      </c>
    </row>
    <row r="10" spans="3:11" x14ac:dyDescent="0.25">
      <c r="C10" s="2" t="s">
        <v>1</v>
      </c>
      <c r="D10" s="2" t="s">
        <v>0</v>
      </c>
      <c r="F10" s="2" t="s">
        <v>0</v>
      </c>
      <c r="G10" s="2" t="s">
        <v>1</v>
      </c>
    </row>
    <row r="11" spans="3:11" x14ac:dyDescent="0.25">
      <c r="C11" s="3">
        <v>0</v>
      </c>
      <c r="D11" s="6">
        <f>C11/$D$3</f>
        <v>0</v>
      </c>
      <c r="F11" s="7">
        <f>D11*$I$9</f>
        <v>0</v>
      </c>
      <c r="G11" s="4">
        <f>F11*$D$3</f>
        <v>0</v>
      </c>
    </row>
    <row r="12" spans="3:11" x14ac:dyDescent="0.25">
      <c r="C12" s="3">
        <v>1</v>
      </c>
      <c r="D12" s="6">
        <f t="shared" ref="D12:D20" si="0">C12/$D$3</f>
        <v>0.1019367991845056</v>
      </c>
      <c r="F12" s="7">
        <f>D12*$I$9</f>
        <v>0.14841997961264014</v>
      </c>
      <c r="G12" s="4">
        <f t="shared" ref="G12:G20" si="1">F12*$D$3</f>
        <v>1.456</v>
      </c>
    </row>
    <row r="13" spans="3:11" x14ac:dyDescent="0.25">
      <c r="C13" s="3">
        <v>2</v>
      </c>
      <c r="D13" s="6">
        <f t="shared" si="0"/>
        <v>0.2038735983690112</v>
      </c>
      <c r="F13" s="7">
        <f>D13*$I$9</f>
        <v>0.29683995922528028</v>
      </c>
      <c r="G13" s="4">
        <f t="shared" si="1"/>
        <v>2.9119999999999999</v>
      </c>
    </row>
    <row r="14" spans="3:11" x14ac:dyDescent="0.25">
      <c r="C14" s="3">
        <v>3</v>
      </c>
      <c r="D14" s="6">
        <f t="shared" si="0"/>
        <v>0.3058103975535168</v>
      </c>
      <c r="F14" s="7">
        <f>D14*$I$9</f>
        <v>0.44525993883792042</v>
      </c>
      <c r="G14" s="4">
        <f t="shared" si="1"/>
        <v>4.3679999999999994</v>
      </c>
    </row>
    <row r="15" spans="3:11" x14ac:dyDescent="0.25">
      <c r="C15" s="3">
        <v>4</v>
      </c>
      <c r="D15" s="6">
        <f t="shared" si="0"/>
        <v>0.4077471967380224</v>
      </c>
      <c r="F15" s="7">
        <f>D15*$I$9</f>
        <v>0.59367991845056056</v>
      </c>
      <c r="G15" s="4">
        <f t="shared" si="1"/>
        <v>5.8239999999999998</v>
      </c>
    </row>
    <row r="16" spans="3:11" x14ac:dyDescent="0.25">
      <c r="C16" s="3">
        <v>5</v>
      </c>
      <c r="D16" s="6">
        <f t="shared" si="0"/>
        <v>0.509683995922528</v>
      </c>
      <c r="F16" s="7">
        <f>D16*$I$9</f>
        <v>0.74209989806320076</v>
      </c>
      <c r="G16" s="4">
        <f t="shared" si="1"/>
        <v>7.28</v>
      </c>
    </row>
    <row r="17" spans="3:11" x14ac:dyDescent="0.25">
      <c r="C17" s="3">
        <v>6</v>
      </c>
      <c r="D17" s="6">
        <f t="shared" si="0"/>
        <v>0.6116207951070336</v>
      </c>
      <c r="F17" s="7">
        <f>D17*$I$9</f>
        <v>0.89051987767584084</v>
      </c>
      <c r="G17" s="4">
        <f t="shared" si="1"/>
        <v>8.7359999999999989</v>
      </c>
    </row>
    <row r="18" spans="3:11" x14ac:dyDescent="0.25">
      <c r="C18" s="3">
        <v>7</v>
      </c>
      <c r="D18" s="6">
        <f t="shared" si="0"/>
        <v>0.7135575942915392</v>
      </c>
      <c r="F18" s="7">
        <f>D18*$I$9</f>
        <v>1.0389398572884812</v>
      </c>
      <c r="G18" s="4">
        <f t="shared" si="1"/>
        <v>10.192</v>
      </c>
    </row>
    <row r="19" spans="3:11" x14ac:dyDescent="0.25">
      <c r="C19" s="3">
        <v>10</v>
      </c>
      <c r="D19" s="6">
        <f t="shared" si="0"/>
        <v>1.019367991845056</v>
      </c>
      <c r="F19" s="7">
        <f>D19*$I$9</f>
        <v>1.4841997961264015</v>
      </c>
      <c r="G19" s="4">
        <f t="shared" si="1"/>
        <v>14.56</v>
      </c>
    </row>
    <row r="20" spans="3:11" x14ac:dyDescent="0.25">
      <c r="C20" s="3">
        <v>12</v>
      </c>
      <c r="D20" s="6">
        <f t="shared" si="0"/>
        <v>1.2232415902140672</v>
      </c>
      <c r="F20" s="7">
        <f>D20*$I$9</f>
        <v>1.7810397553516817</v>
      </c>
      <c r="G20" s="4">
        <f t="shared" si="1"/>
        <v>17.471999999999998</v>
      </c>
    </row>
    <row r="22" spans="3:11" ht="18" x14ac:dyDescent="0.35">
      <c r="C22" s="9" t="s">
        <v>5</v>
      </c>
      <c r="D22" s="9"/>
      <c r="F22" s="9" t="s">
        <v>13</v>
      </c>
      <c r="G22" s="9"/>
      <c r="H22" t="s">
        <v>2</v>
      </c>
      <c r="I22" s="6">
        <v>1</v>
      </c>
      <c r="J22" t="s">
        <v>15</v>
      </c>
      <c r="K22" t="s">
        <v>2</v>
      </c>
    </row>
    <row r="23" spans="3:11" x14ac:dyDescent="0.25">
      <c r="C23" s="2" t="s">
        <v>1</v>
      </c>
      <c r="D23" s="2" t="s">
        <v>0</v>
      </c>
      <c r="F23" s="2" t="s">
        <v>0</v>
      </c>
      <c r="G23" s="2" t="s">
        <v>1</v>
      </c>
    </row>
    <row r="24" spans="3:11" x14ac:dyDescent="0.25">
      <c r="C24" s="3">
        <v>0</v>
      </c>
      <c r="D24" s="6">
        <f>C24/$D$3</f>
        <v>0</v>
      </c>
      <c r="F24" s="7">
        <f>D11*$I$22</f>
        <v>0</v>
      </c>
      <c r="G24" s="4">
        <f>F24*$D$3</f>
        <v>0</v>
      </c>
    </row>
    <row r="25" spans="3:11" x14ac:dyDescent="0.25">
      <c r="C25" s="3">
        <v>1</v>
      </c>
      <c r="D25" s="6">
        <v>0.13</v>
      </c>
      <c r="F25" s="7">
        <f>D12*$I$22</f>
        <v>0.1019367991845056</v>
      </c>
      <c r="G25" s="4">
        <f t="shared" ref="G25:G33" si="2">F25*$D$3</f>
        <v>1</v>
      </c>
    </row>
    <row r="26" spans="3:11" x14ac:dyDescent="0.25">
      <c r="C26" s="3">
        <v>2</v>
      </c>
      <c r="D26" s="6">
        <f t="shared" ref="D25:D33" si="3">C26/$D$3</f>
        <v>0.2038735983690112</v>
      </c>
      <c r="F26" s="7">
        <f>D13*$I$22</f>
        <v>0.2038735983690112</v>
      </c>
      <c r="G26" s="4">
        <f t="shared" si="2"/>
        <v>2</v>
      </c>
    </row>
    <row r="27" spans="3:11" x14ac:dyDescent="0.25">
      <c r="C27" s="3">
        <v>3</v>
      </c>
      <c r="D27" s="6">
        <v>0.3</v>
      </c>
      <c r="F27" s="7">
        <f>D14*$I$22</f>
        <v>0.3058103975535168</v>
      </c>
      <c r="G27" s="4">
        <f t="shared" si="2"/>
        <v>3</v>
      </c>
    </row>
    <row r="28" spans="3:11" x14ac:dyDescent="0.25">
      <c r="C28" s="3">
        <v>4</v>
      </c>
      <c r="D28" s="6">
        <v>0.4</v>
      </c>
      <c r="F28" s="7">
        <f>D15*$I$22</f>
        <v>0.4077471967380224</v>
      </c>
      <c r="G28" s="4">
        <f t="shared" si="2"/>
        <v>4</v>
      </c>
    </row>
    <row r="29" spans="3:11" x14ac:dyDescent="0.25">
      <c r="C29" s="3">
        <v>5</v>
      </c>
      <c r="D29" s="6">
        <v>0.5</v>
      </c>
      <c r="F29" s="7">
        <f>D16*$I$22</f>
        <v>0.509683995922528</v>
      </c>
      <c r="G29" s="4">
        <f t="shared" si="2"/>
        <v>5</v>
      </c>
    </row>
    <row r="30" spans="3:11" x14ac:dyDescent="0.25">
      <c r="C30" s="3">
        <v>6</v>
      </c>
      <c r="D30" s="6">
        <v>0.6</v>
      </c>
      <c r="F30" s="7">
        <f>D17*$I$22</f>
        <v>0.6116207951070336</v>
      </c>
      <c r="G30" s="4">
        <f t="shared" si="2"/>
        <v>6</v>
      </c>
    </row>
    <row r="31" spans="3:11" x14ac:dyDescent="0.25">
      <c r="C31" s="3">
        <v>7</v>
      </c>
      <c r="D31" s="6">
        <v>0.7</v>
      </c>
      <c r="F31" s="7">
        <f>D18*$I$22</f>
        <v>0.7135575942915392</v>
      </c>
      <c r="G31" s="4">
        <f t="shared" si="2"/>
        <v>7</v>
      </c>
    </row>
    <row r="32" spans="3:11" x14ac:dyDescent="0.25">
      <c r="C32" s="3">
        <v>10</v>
      </c>
      <c r="D32" s="6">
        <v>1</v>
      </c>
      <c r="F32" s="7">
        <f>D19*$I$22</f>
        <v>1.019367991845056</v>
      </c>
      <c r="G32" s="4">
        <f t="shared" si="2"/>
        <v>10</v>
      </c>
    </row>
    <row r="33" spans="3:7" x14ac:dyDescent="0.25">
      <c r="C33" s="3">
        <v>12</v>
      </c>
      <c r="D33" s="6">
        <v>1.2</v>
      </c>
      <c r="F33" s="7">
        <f>D20*$I$22</f>
        <v>1.2232415902140672</v>
      </c>
      <c r="G33" s="4">
        <f t="shared" si="2"/>
        <v>12</v>
      </c>
    </row>
  </sheetData>
  <mergeCells count="4">
    <mergeCell ref="F9:G9"/>
    <mergeCell ref="C9:D9"/>
    <mergeCell ref="F22:G22"/>
    <mergeCell ref="C22:D2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2025-03-26T12:37:13Z</dcterms:created>
  <dcterms:modified xsi:type="dcterms:W3CDTF">2026-07-20T08:46:30Z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2025-03-26T12:48:12Z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da360e6d-8fd5-4960-ac88-1c7a5ab96dc5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