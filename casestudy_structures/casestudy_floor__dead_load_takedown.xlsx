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"/>
    </mc:Choice>
  </mc:AlternateContent>
  <xr:revisionPtr revIDLastSave="1" documentId="13_ncr:1_{F35961E9-F8B8-4A65-B019-B52BCE460F24}" xr6:coauthVersionLast="47" xr6:coauthVersionMax="47" xr10:uidLastSave="{B4537D00-D869-4BA7-AD99-53ACE124C484}"/>
  <bookViews>
    <workbookView xWindow="-120" yWindow="-120" windowWidth="29040" windowHeight="15720" xr2:uid="{7B9116AA-679A-42A9-87EC-B84EED1661D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23" i="1"/>
  <c r="C6" i="1"/>
  <c r="C21" i="1" s="1"/>
  <c r="C15" i="1" s="1"/>
  <c r="C17" i="1" l="1"/>
</calcChain>
</file>

<file path=xl/sharedStrings.xml><?xml version="1.0" encoding="utf-8"?>
<sst xmlns="http://schemas.openxmlformats.org/spreadsheetml/2006/main" count="44" uniqueCount="30">
  <si>
    <t>Load Takedown: dead load of floors</t>
  </si>
  <si>
    <t>Slab</t>
  </si>
  <si>
    <t>kN/m²</t>
  </si>
  <si>
    <t>Cieling</t>
  </si>
  <si>
    <t>Flooring/Roof system</t>
  </si>
  <si>
    <t>Services</t>
  </si>
  <si>
    <t>Steel Structure</t>
  </si>
  <si>
    <t>kN</t>
  </si>
  <si>
    <t>Wall area per floor</t>
  </si>
  <si>
    <t>m</t>
  </si>
  <si>
    <t>Lateral Tributary width</t>
  </si>
  <si>
    <t>Building length</t>
  </si>
  <si>
    <t>m²</t>
  </si>
  <si>
    <t>Cladding (per Wall area)</t>
  </si>
  <si>
    <t>Cladding (per floor area)</t>
  </si>
  <si>
    <t>Cladding (per floor)</t>
  </si>
  <si>
    <t>Columns</t>
  </si>
  <si>
    <t>kN/m</t>
  </si>
  <si>
    <t>&lt;-- HEB360</t>
  </si>
  <si>
    <t>Beams</t>
  </si>
  <si>
    <t>&lt;-- IPE400</t>
  </si>
  <si>
    <t>Braces</t>
  </si>
  <si>
    <t>&lt;--CHS 193.7x6.3</t>
  </si>
  <si>
    <t>&lt;-- 18 cm slab at 25 kN/m³</t>
  </si>
  <si>
    <t>&lt;-- 0.06m screed + system</t>
  </si>
  <si>
    <t>&lt;-- 4 columns, 5 rows of beams 21m long, 2 braces</t>
  </si>
  <si>
    <t>Brace length</t>
  </si>
  <si>
    <t>Tributary height floors</t>
  </si>
  <si>
    <t>Tributary height roof</t>
  </si>
  <si>
    <t>&lt;-- round up to 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</si>
</sst>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1" xfId="0" applyNumberFormat="1" applyFont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B12D-E478-45D9-8917-C635B6F8498A}">
  <dimension ref="B2:E26"/>
  <sheetViews>
    <sheetView tabSelected="1" workbookViewId="0">
      <selection activeCell="G20" sqref="G20"/>
    </sheetView>
  </sheetViews>
  <sheetFormatPr baseColWidth="10" defaultRowHeight="15" x14ac:dyDescent="0.25"/>
  <cols>
    <col min="2" max="2" width="32.85546875" bestFit="1" customWidth="1"/>
  </cols>
  <sheetData>
    <row r="2" spans="2:5" x14ac:dyDescent="0.25">
      <c r="B2" t="s">
        <v>27</v>
      </c>
      <c r="C2">
        <v>3.5</v>
      </c>
      <c r="D2" t="s">
        <v>9</v>
      </c>
    </row>
    <row r="3" spans="2:5" x14ac:dyDescent="0.25">
      <c r="B3" t="s">
        <v>28</v>
      </c>
      <c r="C3">
        <v>1.75</v>
      </c>
      <c r="D3" t="s">
        <v>9</v>
      </c>
    </row>
    <row r="4" spans="2:5" x14ac:dyDescent="0.25">
      <c r="B4" t="s">
        <v>10</v>
      </c>
      <c r="C4">
        <v>12</v>
      </c>
      <c r="D4" t="s">
        <v>9</v>
      </c>
    </row>
    <row r="5" spans="2:5" x14ac:dyDescent="0.25">
      <c r="B5" t="s">
        <v>11</v>
      </c>
      <c r="C5">
        <v>21</v>
      </c>
      <c r="D5" t="s">
        <v>9</v>
      </c>
    </row>
    <row r="6" spans="2:5" x14ac:dyDescent="0.25">
      <c r="B6" t="s">
        <v>8</v>
      </c>
      <c r="C6">
        <f>C2*C4 + C2*C5</f>
        <v>115.5</v>
      </c>
      <c r="D6" t="s">
        <v>12</v>
      </c>
    </row>
    <row r="7" spans="2:5" x14ac:dyDescent="0.25">
      <c r="B7" t="s">
        <v>26</v>
      </c>
      <c r="C7">
        <v>7.8259999999999996</v>
      </c>
    </row>
    <row r="10" spans="2:5" x14ac:dyDescent="0.25">
      <c r="B10" t="s">
        <v>0</v>
      </c>
    </row>
    <row r="11" spans="2:5" x14ac:dyDescent="0.25">
      <c r="B11" t="s">
        <v>1</v>
      </c>
      <c r="C11">
        <v>4.5</v>
      </c>
      <c r="D11" t="s">
        <v>2</v>
      </c>
      <c r="E11" t="s">
        <v>23</v>
      </c>
    </row>
    <row r="12" spans="2:5" x14ac:dyDescent="0.25">
      <c r="B12" t="s">
        <v>4</v>
      </c>
      <c r="C12">
        <v>1.2</v>
      </c>
      <c r="D12" t="s">
        <v>2</v>
      </c>
      <c r="E12" t="s">
        <v>24</v>
      </c>
    </row>
    <row r="13" spans="2:5" x14ac:dyDescent="0.25">
      <c r="B13" t="s">
        <v>3</v>
      </c>
      <c r="C13">
        <v>0.3</v>
      </c>
      <c r="D13" t="s">
        <v>2</v>
      </c>
    </row>
    <row r="14" spans="2:5" x14ac:dyDescent="0.25">
      <c r="B14" t="s">
        <v>5</v>
      </c>
      <c r="C14">
        <v>0.5</v>
      </c>
      <c r="D14" t="s">
        <v>2</v>
      </c>
    </row>
    <row r="15" spans="2:5" x14ac:dyDescent="0.25">
      <c r="B15" t="s">
        <v>14</v>
      </c>
      <c r="C15" s="1">
        <f>C21/(C5*C4)</f>
        <v>0.18333333333333335</v>
      </c>
      <c r="D15" t="s">
        <v>2</v>
      </c>
    </row>
    <row r="16" spans="2:5" x14ac:dyDescent="0.25">
      <c r="B16" t="s">
        <v>6</v>
      </c>
      <c r="C16" s="1">
        <f>C23/(C4*C5)</f>
        <v>0.68821322222222225</v>
      </c>
      <c r="D16" t="s">
        <v>2</v>
      </c>
    </row>
    <row r="17" spans="2:5" ht="15.75" thickBot="1" x14ac:dyDescent="0.3">
      <c r="C17" s="2">
        <f>SUM(C11:C16)</f>
        <v>7.3715465555555557</v>
      </c>
      <c r="D17" s="3" t="s">
        <v>2</v>
      </c>
      <c r="E17" t="s">
        <v>29</v>
      </c>
    </row>
    <row r="20" spans="2:5" x14ac:dyDescent="0.25">
      <c r="B20" t="s">
        <v>13</v>
      </c>
      <c r="C20">
        <v>0.4</v>
      </c>
      <c r="D20" t="s">
        <v>2</v>
      </c>
    </row>
    <row r="21" spans="2:5" x14ac:dyDescent="0.25">
      <c r="B21" t="s">
        <v>15</v>
      </c>
      <c r="C21">
        <f>C6*C20</f>
        <v>46.2</v>
      </c>
      <c r="D21" t="s">
        <v>7</v>
      </c>
    </row>
    <row r="23" spans="2:5" x14ac:dyDescent="0.25">
      <c r="B23" t="s">
        <v>6</v>
      </c>
      <c r="C23">
        <f>(4*5*C2*C24) + (5*C5*C25) + (2*C26*C7)</f>
        <v>173.429732</v>
      </c>
      <c r="D23" t="s">
        <v>7</v>
      </c>
      <c r="E23" t="s">
        <v>25</v>
      </c>
    </row>
    <row r="24" spans="2:5" x14ac:dyDescent="0.25">
      <c r="B24" t="s">
        <v>16</v>
      </c>
      <c r="C24">
        <v>1.4179999999999999</v>
      </c>
      <c r="D24" t="s">
        <v>17</v>
      </c>
      <c r="E24" t="s">
        <v>18</v>
      </c>
    </row>
    <row r="25" spans="2:5" x14ac:dyDescent="0.25">
      <c r="B25" t="s">
        <v>19</v>
      </c>
      <c r="C25">
        <v>0.66300000000000003</v>
      </c>
      <c r="D25" t="s">
        <v>17</v>
      </c>
      <c r="E25" t="s">
        <v>20</v>
      </c>
    </row>
    <row r="26" spans="2:5" x14ac:dyDescent="0.25">
      <c r="B26" t="s">
        <v>21</v>
      </c>
      <c r="C26">
        <v>0.29099999999999998</v>
      </c>
      <c r="D26" t="s">
        <v>17</v>
      </c>
      <c r="E26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2025-04-07T13:02:46Z</dcterms:created>
  <dcterms:modified xsi:type="dcterms:W3CDTF">2025-06-27T05:23:50Z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2025-04-07T13:31:00Z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a5eb60fa-7a40-4ed4-9b5c-0596d78e83a6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